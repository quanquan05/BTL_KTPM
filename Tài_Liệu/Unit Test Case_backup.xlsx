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BTL_KTPM\Tài_Liệu\"/>
    </mc:Choice>
  </mc:AlternateContent>
  <xr:revisionPtr revIDLastSave="0" documentId="13_ncr:1_{8788705D-F3A3-44B0-82DC-DA2CBBF4CABA}" xr6:coauthVersionLast="47" xr6:coauthVersionMax="47" xr10:uidLastSave="{00000000-0000-0000-0000-000000000000}"/>
  <bookViews>
    <workbookView xWindow="-120" yWindow="-120" windowWidth="29040" windowHeight="15840" activeTab="4" xr2:uid="{00000000-000D-0000-FFFF-FFFF00000000}"/>
  </bookViews>
  <sheets>
    <sheet name="Cover" sheetId="1" r:id="rId1"/>
    <sheet name="FunctionList" sheetId="2" r:id="rId2"/>
    <sheet name="Test Report" sheetId="3" r:id="rId3"/>
    <sheet name="F_AUTH_REG" sheetId="4" r:id="rId4"/>
    <sheet name="F_AUTH_LOGIN" sheetId="5" r:id="rId5"/>
    <sheet name="F_WAL_DEP" sheetId="6" r:id="rId6"/>
    <sheet name="F_RENT_CALC" sheetId="7" r:id="rId7"/>
    <sheet name="F_ADM_PROD" sheetId="8" r:id="rId8"/>
    <sheet name="F_REF_EXT" sheetId="9" r:id="rId9"/>
    <sheet name="F_AUTO_PASS" sheetId="10" r:id="rId10"/>
    <sheet name="F_AUTH_CHG_PWD" sheetId="11" r:id="rId11"/>
    <sheet name="F_CRM_SYNC" sheetId="12" r:id="rId12"/>
    <sheet name="F_FAV_SEP"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13" l="1"/>
  <c r="I20" i="3" s="1"/>
  <c r="M7" i="13"/>
  <c r="H20" i="3" s="1"/>
  <c r="L7" i="13"/>
  <c r="G20" i="3" s="1"/>
  <c r="K7" i="13"/>
  <c r="F20" i="3" s="1"/>
  <c r="C7" i="13"/>
  <c r="D20" i="3" s="1"/>
  <c r="A7" i="13"/>
  <c r="N7" i="12"/>
  <c r="I19" i="3" s="1"/>
  <c r="M7" i="12"/>
  <c r="H19" i="3" s="1"/>
  <c r="L7" i="12"/>
  <c r="G19" i="3" s="1"/>
  <c r="K7" i="12"/>
  <c r="F19" i="3" s="1"/>
  <c r="C7" i="12"/>
  <c r="D19" i="3" s="1"/>
  <c r="A7" i="12"/>
  <c r="N7" i="11"/>
  <c r="I18" i="3" s="1"/>
  <c r="M7" i="11"/>
  <c r="H18" i="3" s="1"/>
  <c r="L7" i="11"/>
  <c r="G18" i="3" s="1"/>
  <c r="K7" i="11"/>
  <c r="F18" i="3" s="1"/>
  <c r="C7" i="11"/>
  <c r="D18" i="3" s="1"/>
  <c r="A7" i="11"/>
  <c r="N7" i="10"/>
  <c r="I17" i="3" s="1"/>
  <c r="M7" i="10"/>
  <c r="H17" i="3" s="1"/>
  <c r="L7" i="10"/>
  <c r="G17" i="3" s="1"/>
  <c r="K7" i="10"/>
  <c r="F17" i="3" s="1"/>
  <c r="C7" i="10"/>
  <c r="D17" i="3" s="1"/>
  <c r="A7" i="10"/>
  <c r="N7" i="9"/>
  <c r="I16" i="3" s="1"/>
  <c r="M7" i="9"/>
  <c r="H16" i="3" s="1"/>
  <c r="L7" i="9"/>
  <c r="G16" i="3" s="1"/>
  <c r="M18" i="3" s="1"/>
  <c r="K7" i="9"/>
  <c r="F16" i="3" s="1"/>
  <c r="M17" i="3" s="1"/>
  <c r="C7" i="9"/>
  <c r="D16" i="3" s="1"/>
  <c r="M12" i="3" s="1"/>
  <c r="A7" i="9"/>
  <c r="N7" i="8"/>
  <c r="I15" i="3" s="1"/>
  <c r="M7" i="8"/>
  <c r="H15" i="3" s="1"/>
  <c r="L7" i="8"/>
  <c r="G15" i="3" s="1"/>
  <c r="K7" i="8"/>
  <c r="F15" i="3" s="1"/>
  <c r="C7" i="8"/>
  <c r="A7" i="8"/>
  <c r="C15" i="3" s="1"/>
  <c r="N7" i="7"/>
  <c r="I14" i="3" s="1"/>
  <c r="M7" i="7"/>
  <c r="H14" i="3" s="1"/>
  <c r="L7" i="7"/>
  <c r="G14" i="3" s="1"/>
  <c r="K7" i="7"/>
  <c r="F14" i="3" s="1"/>
  <c r="C7" i="7"/>
  <c r="D14" i="3" s="1"/>
  <c r="A7" i="7"/>
  <c r="N7" i="6"/>
  <c r="I13" i="3" s="1"/>
  <c r="M7" i="6"/>
  <c r="H13" i="3" s="1"/>
  <c r="L7" i="6"/>
  <c r="G13" i="3" s="1"/>
  <c r="K7" i="6"/>
  <c r="F13" i="3" s="1"/>
  <c r="C7" i="6"/>
  <c r="D13" i="3" s="1"/>
  <c r="A7" i="6"/>
  <c r="N7" i="5"/>
  <c r="I12" i="3" s="1"/>
  <c r="M7" i="5"/>
  <c r="H12" i="3" s="1"/>
  <c r="L7" i="5"/>
  <c r="G12" i="3" s="1"/>
  <c r="K7" i="5"/>
  <c r="F12" i="3" s="1"/>
  <c r="C7" i="5"/>
  <c r="D12" i="3" s="1"/>
  <c r="A7" i="5"/>
  <c r="N7" i="4"/>
  <c r="I11" i="3" s="1"/>
  <c r="M7" i="4"/>
  <c r="H11" i="3" s="1"/>
  <c r="L7" i="4"/>
  <c r="G11" i="3" s="1"/>
  <c r="K7" i="4"/>
  <c r="F11" i="3" s="1"/>
  <c r="C7" i="4"/>
  <c r="D11" i="3" s="1"/>
  <c r="A7" i="4"/>
  <c r="E5" i="3"/>
  <c r="B5" i="3"/>
  <c r="B6" i="3" s="1"/>
  <c r="E4" i="3"/>
  <c r="B4" i="3"/>
  <c r="B5" i="2"/>
  <c r="B4" i="2"/>
  <c r="B6" i="1"/>
  <c r="C20" i="3" l="1"/>
  <c r="E7" i="13"/>
  <c r="E20" i="3" s="1"/>
  <c r="E7" i="12"/>
  <c r="E19" i="3" s="1"/>
  <c r="C19" i="3"/>
  <c r="C18" i="3"/>
  <c r="E7" i="11"/>
  <c r="E18" i="3" s="1"/>
  <c r="C17" i="3"/>
  <c r="E7" i="10"/>
  <c r="E17" i="3" s="1"/>
  <c r="C16" i="3"/>
  <c r="M11" i="3" s="1"/>
  <c r="E7" i="9"/>
  <c r="E16" i="3" s="1"/>
  <c r="M13" i="3" s="1"/>
  <c r="D15" i="3"/>
  <c r="D21" i="3" s="1"/>
  <c r="E7" i="8"/>
  <c r="E15" i="3" s="1"/>
  <c r="E7" i="7"/>
  <c r="E14" i="3" s="1"/>
  <c r="C14" i="3"/>
  <c r="C13" i="3"/>
  <c r="E7" i="6"/>
  <c r="E13" i="3" s="1"/>
  <c r="E7" i="5"/>
  <c r="E12" i="3" s="1"/>
  <c r="C12" i="3"/>
  <c r="E7" i="4"/>
  <c r="E11" i="3" s="1"/>
  <c r="C11" i="3"/>
  <c r="H21" i="3"/>
  <c r="G21" i="3"/>
  <c r="I21" i="3"/>
  <c r="F21" i="3"/>
  <c r="D25" i="3" s="1"/>
  <c r="E21" i="3" l="1"/>
  <c r="C21" i="3"/>
  <c r="D27" i="3"/>
  <c r="D26" i="3"/>
  <c r="D23" i="3" l="1"/>
  <c r="D24" i="3"/>
</calcChain>
</file>

<file path=xl/sharedStrings.xml><?xml version="1.0" encoding="utf-8"?>
<sst xmlns="http://schemas.openxmlformats.org/spreadsheetml/2006/main" count="1378" uniqueCount="355">
  <si>
    <t>UNIT TEST CASE</t>
  </si>
  <si>
    <t>Project Name</t>
  </si>
  <si>
    <t>GameRent - Hệ thống cho thuê tài khoản game trực tuyến tự động 24/7</t>
  </si>
  <si>
    <t>Creator</t>
  </si>
  <si>
    <t>Nhóm 15 - Lớp Kiểm thử phần mềm-1-1-26(N05)</t>
  </si>
  <si>
    <t>Project Code</t>
  </si>
  <si>
    <t>GAMERENT</t>
  </si>
  <si>
    <t>Reviewer/Approver</t>
  </si>
  <si>
    <t>ThS. Phạm Thị Loan</t>
  </si>
  <si>
    <t>Document Code</t>
  </si>
  <si>
    <t>Issue Date</t>
  </si>
  <si>
    <t>2026-03-24</t>
  </si>
  <si>
    <t>Version</t>
  </si>
  <si>
    <t>v1.0</t>
  </si>
  <si>
    <t>Record of change</t>
  </si>
  <si>
    <t>Effective Date</t>
  </si>
  <si>
    <t>Change Item</t>
  </si>
  <si>
    <t>*A,D,M</t>
  </si>
  <si>
    <t>Change description</t>
  </si>
  <si>
    <t>Reference</t>
  </si>
  <si>
    <t>Initial Release</t>
  </si>
  <si>
    <t>A</t>
  </si>
  <si>
    <t>Khởi tạo và hoàn thiện đầy đủ bộ 100 Unit Test Cases cho 10 Module chức năng cốt lõi của dự án GameRent do Nhóm 15 thực hiện (áp dụng kỹ thuật BVA, EP, Decision Table, đặc tả UC1).</t>
  </si>
  <si>
    <t>CHI_TIET_DU_AN_GAMERENT.md, UC1_Add New Product.pdf</t>
  </si>
  <si>
    <t>UNIT TEST CASE LIST</t>
  </si>
  <si>
    <t>Normal number of Test cases/KLOC</t>
  </si>
  <si>
    <t>100</t>
  </si>
  <si>
    <t>Test Environment Setup Description</t>
  </si>
  <si>
    <t>Môi trường kiểm thử đơn vị (Unit Test Environment):
1. Nền tảng: Node.js v20.x, React 19.x, Vite 8.x
2. Framework: Vitest v5.0.1, jsdom simulated DOM environment
3. Cơ sở dữ liệu: LocalStorage Mock Database Engine
4. Tầng logic nghiệp vụ: src/utils/validation.js, favoriteUtils.js
5. Tiêu chuẩn áp dụng: BVA, EP, Decision Table, UC1_Add New Product</t>
  </si>
  <si>
    <t>No</t>
  </si>
  <si>
    <t>Requirement Name</t>
  </si>
  <si>
    <t>Class Name</t>
  </si>
  <si>
    <t>Function Name</t>
  </si>
  <si>
    <t>Function Code(Optional)</t>
  </si>
  <si>
    <t>Sheet Name</t>
  </si>
  <si>
    <t>Description</t>
  </si>
  <si>
    <t>Pre-Condition</t>
  </si>
  <si>
    <t>Module 1: Xác thực &amp; Đăng ký</t>
  </si>
  <si>
    <t>validation.js</t>
  </si>
  <si>
    <t>validateRegistration</t>
  </si>
  <si>
    <t>F_AUTH_REG</t>
  </si>
  <si>
    <t>Kiểm tra hợp lệ form đăng ký tài khoản (BVA 4-30 ký tự, SĐT 10 chữ số, mật khẩu &gt;= 6 ký tự, kiểm tra trùng lặp)</t>
  </si>
  <si>
    <t>Hệ thống hoạt động bình thường, CSDL có sẵn danh sách user mẫu</t>
  </si>
  <si>
    <t>Module 2: Xác thực &amp; Đăng nhập</t>
  </si>
  <si>
    <t>validateLogin</t>
  </si>
  <si>
    <t>F_AUTH_LOGIN</t>
  </si>
  <si>
    <t>Xác thực thông tin đăng nhập email/mật khẩu, chặn tài khoản bị khóa isBlocked, quản lý phiên</t>
  </si>
  <si>
    <t>Hệ thống có sẵn user thường và user bị khóa (isBlocked=true)</t>
  </si>
  <si>
    <t>Module 3: Ví điện tử &amp; Nạp tiền</t>
  </si>
  <si>
    <t>validateDepositAmount</t>
  </si>
  <si>
    <t>F_WAL_DEP</t>
  </si>
  <si>
    <t>Kiểm tra hợp lệ hạn mức nạp tiền ví qua VietQR Auto (BVA 10.000đ - 5.000.000đ, số nguyên dương)</t>
  </si>
  <si>
    <t>Người dùng đã đăng nhập, mở modal nạp tiền VietQR</t>
  </si>
  <si>
    <t>Module 4: Thuê tài khoản game</t>
  </si>
  <si>
    <t>calculateRentalCost</t>
  </si>
  <si>
    <t>F_RENT_CALC</t>
  </si>
  <si>
    <t>Tính chi phí thuê và kiểm tra số dư ví theo Decision Table (BVA 1h - 48h, trạng thái acc, đủ/thiếu ví)</t>
  </si>
  <si>
    <t>Có tài khoản game trong CSDL, xác định giá thuê/giờ và số dư ví</t>
  </si>
  <si>
    <t>Module 5: Quản trị kho tài khoản</t>
  </si>
  <si>
    <t>validateProductUC1</t>
  </si>
  <si>
    <t>F_ADM_PROD</t>
  </si>
  <si>
    <t>Kiểm tra form Thêm tài khoản game chuẩn 100% tài liệu đặc tả đề bài UC1_Add New Product (BR1-BR6)</t>
  </si>
  <si>
    <t>Quản trị viên mở modal Thêm mới tài khoản trong kho</t>
  </si>
  <si>
    <t>Module 6: Hoàn tiền &amp; Gia hạn</t>
  </si>
  <si>
    <t>calculateRefundAndExtension</t>
  </si>
  <si>
    <t>F_REF_EXT</t>
  </si>
  <si>
    <t>Tính hoàn tiền 50% khi trả sớm, hoàn tiền 100% khi khiếu nại được duyệt, và gia hạn thêm giờ thuê</t>
  </si>
  <si>
    <t>Đơn thuê đang tồn tại trong hệ thống kèm thông tin ca chơi</t>
  </si>
  <si>
    <t>Module 7: Tự động đổi mật khẩu</t>
  </si>
  <si>
    <t>generateRandomPassword</t>
  </si>
  <si>
    <t>F_AUTO_PASS</t>
  </si>
  <si>
    <t>Tự động sinh mật khẩu ngẫu nhiên bảo mật cao (12-14 ký tự) khi thu hồi nick hết giờ, chống trùng pass cũ</t>
  </si>
  <si>
    <t>Ca thuê hết hạn hoặc Admin thu hồi bảo mật</t>
  </si>
  <si>
    <t>Module 8: Đổi mật khẩu cá nhân</t>
  </si>
  <si>
    <t>validatePasswordChange</t>
  </si>
  <si>
    <t>F_AUTH_CHG_PWD</t>
  </si>
  <si>
    <t>Kiểm tra hợp lệ form đổi mật khẩu khách thuê (BVA 5-6 ký tự, mật khẩu cũ, khớp mật khẩu xác nhận)</t>
  </si>
  <si>
    <t>Khách hàng đã đăng nhập tài khoản cá nhân</t>
  </si>
  <si>
    <t>Module 9: Quản lý khách hàng CRM</t>
  </si>
  <si>
    <t>validation.js / context</t>
  </si>
  <si>
    <t>crudAndAutoSyncCRM</t>
  </si>
  <si>
    <t>F_CRM_SYNC</t>
  </si>
  <si>
    <t>Thao tác CRUD hồ sơ khách hàng và tự động đồng bộ khách mới khi đăng ký</t>
  </si>
  <si>
    <t>Đăng ký tài khoản ngoài trang chủ hoặc thao tác trong trang Quản lý khách hàng</t>
  </si>
  <si>
    <t>Module 10: Phân tách Yêu thích</t>
  </si>
  <si>
    <t>favoriteUtils.js</t>
  </si>
  <si>
    <t>getFavoritesKey</t>
  </si>
  <si>
    <t>F_FAV_SEP</t>
  </si>
  <si>
    <t>Xác định chính xác storage key phân tách danh sách yêu thích độc lập theo User ID</t>
  </si>
  <si>
    <t>Người dùng thao tác thả tim tài khoản game hoặc đăng nhập</t>
  </si>
  <si>
    <t>UNIT TEST REPORT</t>
  </si>
  <si>
    <t>Status</t>
  </si>
  <si>
    <t>Count</t>
  </si>
  <si>
    <t>Passed</t>
  </si>
  <si>
    <t>Failed</t>
  </si>
  <si>
    <t>Untested</t>
  </si>
  <si>
    <t>Notes</t>
  </si>
  <si>
    <t>Báo cáo tổng hợp kết quả thực thi 100 Unit Test Cases cho 10 Module chức năng cốt lõi của hệ thống GameRent (Vitest Suite - 100% Passed).</t>
  </si>
  <si>
    <t>Type</t>
  </si>
  <si>
    <t>N</t>
  </si>
  <si>
    <t>Function code</t>
  </si>
  <si>
    <t>B</t>
  </si>
  <si>
    <t>Total Test Cases</t>
  </si>
  <si>
    <t>Sub total</t>
  </si>
  <si>
    <t>Test coverage</t>
  </si>
  <si>
    <t>%</t>
  </si>
  <si>
    <t>Test successful coverage</t>
  </si>
  <si>
    <t>Normal case</t>
  </si>
  <si>
    <t>Abnormal case</t>
  </si>
  <si>
    <t>Boundary case</t>
  </si>
  <si>
    <t>Function Code</t>
  </si>
  <si>
    <t>Created By</t>
  </si>
  <si>
    <t>Nhóm 15</t>
  </si>
  <si>
    <t>Executed By</t>
  </si>
  <si>
    <t>Nhóm 15 (Automation)</t>
  </si>
  <si>
    <t>Lines of code</t>
  </si>
  <si>
    <t>Test requirement</t>
  </si>
  <si>
    <t>N/A/B</t>
  </si>
  <si>
    <t>UTCID01</t>
  </si>
  <si>
    <t>UTCID02</t>
  </si>
  <si>
    <t>UTCID03</t>
  </si>
  <si>
    <t>UTCID04</t>
  </si>
  <si>
    <t>UTCID05</t>
  </si>
  <si>
    <t>UTCID06</t>
  </si>
  <si>
    <t>UTCID07</t>
  </si>
  <si>
    <t>UTCID08</t>
  </si>
  <si>
    <t>UTCID09</t>
  </si>
  <si>
    <t>UTCID10</t>
  </si>
  <si>
    <t>UTCID11</t>
  </si>
  <si>
    <t>UTCID12</t>
  </si>
  <si>
    <t>UTCID13</t>
  </si>
  <si>
    <t>UTCID14</t>
  </si>
  <si>
    <t>UTCID15</t>
  </si>
  <si>
    <t>UTCID16</t>
  </si>
  <si>
    <t>Condition</t>
  </si>
  <si>
    <t>Precondition</t>
  </si>
  <si>
    <t>N/A</t>
  </si>
  <si>
    <t>Username</t>
  </si>
  <si>
    <t>Hợp lệ ('user_valid')</t>
  </si>
  <si>
    <t>O</t>
  </si>
  <si>
    <t>Dưới biên min (3 ký tự: 'abc')</t>
  </si>
  <si>
    <t>Để trống ('')</t>
  </si>
  <si>
    <t>Tại biên max (30 ký tự)</t>
  </si>
  <si>
    <t>Vượt biên max (31 ký tự)</t>
  </si>
  <si>
    <t>Chứa khoảng trắng ('user name')</t>
  </si>
  <si>
    <t>Chứa ký tự đặc biệt ('user@123')</t>
  </si>
  <si>
    <t>Đã tồn tại trong CSDL ('khach01')</t>
  </si>
  <si>
    <t>Có dấu gạch dưới ('vip_pro_01')</t>
  </si>
  <si>
    <t>Password</t>
  </si>
  <si>
    <t>Hợp lệ (&gt;= 6 ký tự: 'pass123')</t>
  </si>
  <si>
    <t>Tại biên min (6 ký tự: '123456')</t>
  </si>
  <si>
    <t>Dưới biên min (5 ký tự: '12345')</t>
  </si>
  <si>
    <t>Phone</t>
  </si>
  <si>
    <t>10 số di động chuẩn ('0987654321')</t>
  </si>
  <si>
    <t>Sai đầu số mạng ('0123456789')</t>
  </si>
  <si>
    <t>Thiếu số (9 số: '098765432')</t>
  </si>
  <si>
    <t>Thừa số (11 số: '09876543210')</t>
  </si>
  <si>
    <t>Chứa ký tự chữ ('0987abc321')</t>
  </si>
  <si>
    <t>Đầu số 08 chuẩn ('0812345678')</t>
  </si>
  <si>
    <t>Confirm</t>
  </si>
  <si>
    <t>Return / Exception</t>
  </si>
  <si>
    <t>isValid = true</t>
  </si>
  <si>
    <t>error = 'Tên đăng nhập phải từ 4 ký tự trở lên'</t>
  </si>
  <si>
    <t>error = 'Tên đăng nhập không được để trống'</t>
  </si>
  <si>
    <t>error = 'Tên đăng nhập không được vượt quá 30 ký tự'</t>
  </si>
  <si>
    <t>error = 'Tên đăng nhập không chứa khoảng trắng'</t>
  </si>
  <si>
    <t>error = 'Tên đăng nhập chỉ gồm chữ và số'</t>
  </si>
  <si>
    <t>error = 'Mật khẩu phải có ít nhất 6 ký tự'</t>
  </si>
  <si>
    <t>error = 'Số điện thoại không đúng định dạng đầu số di động'</t>
  </si>
  <si>
    <t>error = 'Số điện thoại phải gồm đúng 10 chữ số'</t>
  </si>
  <si>
    <t>error = 'Số điện thoại không được vượt quá 10 chữ số'</t>
  </si>
  <si>
    <t>error = 'Số điện thoại chỉ gồm chữ số'</t>
  </si>
  <si>
    <t>error = 'Tên đăng nhập đã tồn tại trong hệ thống'</t>
  </si>
  <si>
    <t>Result</t>
  </si>
  <si>
    <t>Type(N : Normal, A : Abnormal, B : Boundary)</t>
  </si>
  <si>
    <t>Passed/Failed</t>
  </si>
  <si>
    <t>P</t>
  </si>
  <si>
    <t>Executed Date</t>
  </si>
  <si>
    <t>Defect ID</t>
  </si>
  <si>
    <t>Email</t>
  </si>
  <si>
    <t>Email chính xác ('khach01@gmail.com')</t>
  </si>
  <si>
    <t>Email không tồn tại ('notfound@gmail.com')</t>
  </si>
  <si>
    <t>Email để trống ('')</t>
  </si>
  <si>
    <t>Tài khoản đang đăng nhập hợp lệ</t>
  </si>
  <si>
    <t>Chưa có phiên (LocalStorage trống)</t>
  </si>
  <si>
    <t>Đúng mật khẩu ('123456')</t>
  </si>
  <si>
    <t>Sai mật khẩu ('wrongpass')</t>
  </si>
  <si>
    <t>Để trống mật khẩu ('')</t>
  </si>
  <si>
    <t>Trạng thái</t>
  </si>
  <si>
    <t>Hoạt động bình thường (isBlocked=false)</t>
  </si>
  <si>
    <t>Bị khóa vi phạm (isBlocked=true)</t>
  </si>
  <si>
    <t>success = true, user != null</t>
  </si>
  <si>
    <t>error = 'Mật khẩu không chính xác'</t>
  </si>
  <si>
    <t>error = 'Email không tồn tại trên hệ thống'</t>
  </si>
  <si>
    <t>error = 'Email không được để trống'</t>
  </si>
  <si>
    <t>error = 'Mật khẩu không được để trống'</t>
  </si>
  <si>
    <t>error = 'Tài khoản của bạn đang bị khóa do vi phạm quy chế'</t>
  </si>
  <si>
    <t>Khôi phục phiên đăng nhập thành công</t>
  </si>
  <si>
    <t>Khởi động ở trạng thái Guest (chưa đăng nhập)</t>
  </si>
  <si>
    <t>Xóa sạch phiên, chuyển về trạng thái Guest</t>
  </si>
  <si>
    <t>Số tiền nạp (VNĐ)</t>
  </si>
  <si>
    <t>9.999 VNĐ (Ngay dưới biên min)</t>
  </si>
  <si>
    <t>10.000 VNĐ (Tại biên min hợp lệ)</t>
  </si>
  <si>
    <t>11.000 VNĐ (Ngay trên biên min)</t>
  </si>
  <si>
    <t>200.000 VNĐ (Gói nạp thông dụng)</t>
  </si>
  <si>
    <t>1.000.000 VNĐ (Gói nạp VIP)</t>
  </si>
  <si>
    <t>4.999.000 VNĐ (Ngay dưới biên max)</t>
  </si>
  <si>
    <t>5.000.000 VNĐ (Tại biên max hợp lệ)</t>
  </si>
  <si>
    <t>5.001.000 VNĐ (Vượt quá biên max)</t>
  </si>
  <si>
    <t>-50.000 VNĐ (Số tiền âm)</t>
  </si>
  <si>
    <t>'abc@123' (Ký tự chữ / ký tự đặc biệt)</t>
  </si>
  <si>
    <t>isValid = true, amount xác định</t>
  </si>
  <si>
    <t>error = 'Số tiền nạp tối thiểu là 10.000 VNĐ'</t>
  </si>
  <si>
    <t>error = 'Số tiền nạp tối đa là 5.000.000 VNĐ'</t>
  </si>
  <si>
    <t>error = 'Số tiền nạp phải là số nguyên dương'</t>
  </si>
  <si>
    <t>error = 'Vui lòng nhập số tiền hợp lệ'</t>
  </si>
  <si>
    <t>Số giờ thuê</t>
  </si>
  <si>
    <t>1 giờ (Tại biên min)</t>
  </si>
  <si>
    <t>0 giờ (Dưới biên min)</t>
  </si>
  <si>
    <t>48 giờ (Tại biên max)</t>
  </si>
  <si>
    <t>49 giờ (Vượt biên max)</t>
  </si>
  <si>
    <t>Thời gian hợp lệ khác</t>
  </si>
  <si>
    <t>Số dư ví khách</t>
  </si>
  <si>
    <t>Đủ tiền (&gt; chi phí: 50k &gt; 30k)</t>
  </si>
  <si>
    <t>Vừa đủ tiền (== chi phí: 30k == 30k)</t>
  </si>
  <si>
    <t>Thiếu tiền (&lt; chi phí: 20k &lt; 30k)</t>
  </si>
  <si>
    <t>Hết tiền (0 VNĐ)</t>
  </si>
  <si>
    <t>Trạng thái tài khoản</t>
  </si>
  <si>
    <t>available (Sẵn sàng)</t>
  </si>
  <si>
    <t>rented (Đang có người thuê)</t>
  </si>
  <si>
    <t>maintenance (Đang bảo trì)</t>
  </si>
  <si>
    <t>canRent = true, tính đúng totalCost</t>
  </si>
  <si>
    <t>error = 'Thời gian thuê tối thiểu là 1 giờ'</t>
  </si>
  <si>
    <t>error = 'Thời gian thuê tối đa là 48 giờ'</t>
  </si>
  <si>
    <t>canRent = false, báo thiếu 10.000 đ</t>
  </si>
  <si>
    <t>canRent = false, báo thiếu 30.000 đ</t>
  </si>
  <si>
    <t>error = 'Tài khoản này hiện đang có người thuê'</t>
  </si>
  <si>
    <t>error = 'Tài khoản đang trong quá trình bảo trì / đổi mật khẩu'</t>
  </si>
  <si>
    <t>Lọc chính xác theo tựa game (LQ, Val, Genshin)</t>
  </si>
  <si>
    <t>Tìm kiếm chính xác theo mã đơn, mã acc</t>
  </si>
  <si>
    <t>Tìm kiếm linh hoạt theo tên khách (có/không dấu)</t>
  </si>
  <si>
    <t>Tìm kiếm chính xác theo tên tựa game</t>
  </si>
  <si>
    <t>Mã sản phẩm</t>
  </si>
  <si>
    <t>7 ký tự (Dưới biên min 8)</t>
  </si>
  <si>
    <t>8 ký tự (Biên min hợp lệ)</t>
  </si>
  <si>
    <t>30 ký tự (Biên max hợp lệ)</t>
  </si>
  <si>
    <t>31 ký tự (Vượt biên max 30)</t>
  </si>
  <si>
    <t>Chứa ký tự đặc biệt ('@')</t>
  </si>
  <si>
    <t>Chứa khoảng trắng</t>
  </si>
  <si>
    <t>Đã tồn tại trong CSDL ('ACCVAL001')</t>
  </si>
  <si>
    <t>Hợp lệ ('ACCVAL01')</t>
  </si>
  <si>
    <t>Tên sản phẩm</t>
  </si>
  <si>
    <t>9 ký tự (Dưới biên min 10)</t>
  </si>
  <si>
    <t>10 ký tự (Biên min hợp lệ)</t>
  </si>
  <si>
    <t>50 ký tự (Biên max hợp lệ)</t>
  </si>
  <si>
    <t>51 ký tự (Vượt biên max 50)</t>
  </si>
  <si>
    <t>Hợp lệ (10-50 ký tự)</t>
  </si>
  <si>
    <t>Hình ảnh &amp; Giá</t>
  </si>
  <si>
    <t>Sai định dạng ảnh (.pdf, .zip)</t>
  </si>
  <si>
    <t>Dung lượng ảnh 1.5MB (&gt; 1MB)</t>
  </si>
  <si>
    <t>Ảnh PNG 800KB hợp lệ (&lt;= 1MB)</t>
  </si>
  <si>
    <t>Giá thuê âm (-10.000 VNĐ)</t>
  </si>
  <si>
    <t>Giá thuê hợp lệ (&gt; 0)</t>
  </si>
  <si>
    <t>isValid = true (Thêm sản phẩm thành công)</t>
  </si>
  <si>
    <t>error = 'Mã sản phẩm phải từ 8 ký tự trở lên'</t>
  </si>
  <si>
    <t>error = 'Mã sản phẩm không vượt quá 30 ký tự'</t>
  </si>
  <si>
    <t>error = 'Mã sản phẩm chỉ gồm chữ và số'</t>
  </si>
  <si>
    <t>error = 'Mã sản phẩm không chứa khoảng trắng'</t>
  </si>
  <si>
    <t>error = 'Mã sản phẩm đã tồn tại trong hệ thống'</t>
  </si>
  <si>
    <t>error = 'Tên sản phẩm phải từ 10 ký tự trở lên'</t>
  </si>
  <si>
    <t>error = 'Tên sản phẩm không quá 50 ký tự'</t>
  </si>
  <si>
    <t>error = 'Ảnh phải đúng định dạng (.jpg, .png, .gif)'</t>
  </si>
  <si>
    <t>error = 'Dung lượng ảnh vượt quá 1MB'</t>
  </si>
  <si>
    <t>error = 'Giá thuê mỗi giờ phải lớn hơn 0'</t>
  </si>
  <si>
    <t>Hành động</t>
  </si>
  <si>
    <t>Trả tài khoản sớm (return_early)</t>
  </si>
  <si>
    <t>Duyệt bồi thường khiếu nại (dispute_approved)</t>
  </si>
  <si>
    <t>Gia hạn thêm giờ (extend)</t>
  </si>
  <si>
    <t>Thời gian / Điều kiện</t>
  </si>
  <si>
    <t>Còn 2 giờ thừa (30.000 đ/h)</t>
  </si>
  <si>
    <t>Đã hết giờ chơi (0 giờ thừa)</t>
  </si>
  <si>
    <t>Đơn hàng giá trị 30.000 đ</t>
  </si>
  <si>
    <t>Đơn hàng giá trị 50.000 đ</t>
  </si>
  <si>
    <t>Gia hạn thêm 1 giờ khi còn hạn</t>
  </si>
  <si>
    <t>Gia hạn thêm 24 giờ</t>
  </si>
  <si>
    <t>Gia hạn khi đơn đã quá hạn</t>
  </si>
  <si>
    <t>Số giờ gia hạn &lt;= 0</t>
  </si>
  <si>
    <t>Hoàn 50% = 30.000 đ, orderStatus = 'completed'</t>
  </si>
  <si>
    <t>Hoàn 0 đ</t>
  </si>
  <si>
    <t>Hoàn 100% = 30.000 đ, accountStatus = 'maintenance'</t>
  </si>
  <si>
    <t>Hoàn 100% = 50.000 đ</t>
  </si>
  <si>
    <t>Cộng nối tiếp 3.600s vào expiresAt, phí 15k</t>
  </si>
  <si>
    <t>Cộng nối tiếp 24h, chi phí 360.000 đ</t>
  </si>
  <si>
    <t>Tính mốc mới bắt đầu từ Date.now()</t>
  </si>
  <si>
    <t>error = 'Số giờ gia hạn phải lớn hơn 0'</t>
  </si>
  <si>
    <t>Mật khẩu cũ</t>
  </si>
  <si>
    <t>Có mật khẩu cũ cụ thể ('OldPass@123')</t>
  </si>
  <si>
    <t>Không truyền mật khẩu cũ ('')</t>
  </si>
  <si>
    <t>Kịch bản kích hoạt</t>
  </si>
  <si>
    <t>Sinh mật khẩu đơn lẻ</t>
  </si>
  <si>
    <t>50 lần sinh liên tiếp</t>
  </si>
  <si>
    <t>Thu hồi nick chuyển trạng thái available</t>
  </si>
  <si>
    <t>Kiểm tra toàn bộ kho acc</t>
  </si>
  <si>
    <t>Lưu vết lịch sử mật khẩu</t>
  </si>
  <si>
    <t>Vô hiệu hóa mật khẩu cũ</t>
  </si>
  <si>
    <t>Tạo thông báo hết hạn ca thuê</t>
  </si>
  <si>
    <t>Vòng đời đọc/xóa thông báo chuông</t>
  </si>
  <si>
    <t>Độ dài mật khẩu chuẩn 12-14 ký tự</t>
  </si>
  <si>
    <t>Chứa đầy đủ [A-Z], [a-z], [0-9], [@#!]</t>
  </si>
  <si>
    <t>newPassword !== oldPassword (không trùng)</t>
  </si>
  <si>
    <t>50 chuỗi mật khẩu hoàn toàn khác biệt</t>
  </si>
  <si>
    <t>Trạng thái acc chuyển sang 'available'</t>
  </si>
  <si>
    <t>secretAccount &amp; secretPassword hợp lệ</t>
  </si>
  <si>
    <t>Lưu vết lịch sử mật khẩu thành công</t>
  </si>
  <si>
    <t>Mật khẩu cũ bị vô hiệu hóa hoàn toàn</t>
  </si>
  <si>
    <t>Tự động tạo notification cho khách</t>
  </si>
  <si>
    <t>Đánh dấu đã đọc và xóa thông báo thành công</t>
  </si>
  <si>
    <t>User đăng nhập</t>
  </si>
  <si>
    <t>Hợp lệ (user != null)</t>
  </si>
  <si>
    <t>Chưa đăng nhập (user = null)</t>
  </si>
  <si>
    <t>Mật khẩu hiện tại</t>
  </si>
  <si>
    <t>Mật khẩu mới</t>
  </si>
  <si>
    <t>Hợp lệ ('newpass123')</t>
  </si>
  <si>
    <t>5 ký tự (Dưới biên min 6)</t>
  </si>
  <si>
    <t>6 ký tự (Tại biên min hợp lệ)</t>
  </si>
  <si>
    <t>Trùng mật khẩu cũ ('123456')</t>
  </si>
  <si>
    <t>Không khớp mật khẩu xác nhận</t>
  </si>
  <si>
    <t>success = true (Đổi mật khẩu thành công)</t>
  </si>
  <si>
    <t>error = 'Mật khẩu mới phải có ít nhất 6 ký tự'</t>
  </si>
  <si>
    <t>error = 'Mật khẩu hiện tại không chính xác'</t>
  </si>
  <si>
    <t>error = 'Mật khẩu mới không được trùng mật khẩu cũ'</t>
  </si>
  <si>
    <t>error = 'Mật khẩu xác nhận không khớp'</t>
  </si>
  <si>
    <t>error = 'Vui lòng nhập mật khẩu hiện tại'</t>
  </si>
  <si>
    <t>error = 'Bạn chưa đăng nhập'</t>
  </si>
  <si>
    <t>Thao tác CRM</t>
  </si>
  <si>
    <t>Thêm khách hàng thủ công</t>
  </si>
  <si>
    <t>Cập nhật thông tin khách (SĐT, Email, Status)</t>
  </si>
  <si>
    <t>Xóa khách hàng khỏi hệ thống</t>
  </si>
  <si>
    <t>Cập nhật thông tin tài khoản kho game</t>
  </si>
  <si>
    <t>Khách đăng ký mới ngoài trang chủ</t>
  </si>
  <si>
    <t>Thêm thành công khách hàng mới (KH00x)</t>
  </si>
  <si>
    <t>Thông tin khách hàng được cập nhật chính xác</t>
  </si>
  <si>
    <t>Khách hàng bị xóa thành công khỏi CRM</t>
  </si>
  <si>
    <t>Kho tài khoản game được cập nhật thành công</t>
  </si>
  <si>
    <t>Tự động đồng bộ ngay lập tức sang CRM Admin</t>
  </si>
  <si>
    <t>Vai trò &amp; Người dùng</t>
  </si>
  <si>
    <t>Tài khoản Quản trị viên (Admin)</t>
  </si>
  <si>
    <t>Khách hàng User 1</t>
  </si>
  <si>
    <t>Khách hàng User 2</t>
  </si>
  <si>
    <t>Khách vãng lai (Chưa đăng nhập)</t>
  </si>
  <si>
    <t>Key chuẩn: 'gamerent_fav_admin_01'</t>
  </si>
  <si>
    <t>Key chuẩn: 'gamerent_fav_user_02'</t>
  </si>
  <si>
    <t>Key chuẩn: 'gamerent_fav_guest'</t>
  </si>
  <si>
    <t>Dữ liệu tim của Admin không lẫn sang User</t>
  </si>
  <si>
    <t>Hai khách hàng có danh sách tim độc lập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</si>
</sst>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
  </numFmts>
  <fonts count="20" x14ac:knownFonts="1">
    <font>
      <sz val="11"/>
      <color theme="1"/>
      <name val="Calibri"/>
      <family val="2"/>
      <scheme val="minor"/>
    </font>
    <font>
      <b/>
      <sz val="15"/>
      <color rgb="FF1E3A8A"/>
      <name val="Segoe UI"/>
    </font>
    <font>
      <sz val="9.5"/>
      <color rgb="FF1E293B"/>
      <name val="Segoe UI"/>
    </font>
    <font>
      <b/>
      <sz val="10"/>
      <color rgb="FFFFFFFF"/>
      <name val="Segoe UI"/>
    </font>
    <font>
      <b/>
      <sz val="9.5"/>
      <color rgb="FF15803D"/>
      <name val="Segoe UI"/>
    </font>
    <font>
      <i/>
      <sz val="9"/>
      <color rgb="FF64748B"/>
      <name val="Segoe UI"/>
    </font>
    <font>
      <b/>
      <sz val="9.5"/>
      <color rgb="FF1E293B"/>
      <name val="Segoe UI"/>
    </font>
    <font>
      <b/>
      <sz val="10"/>
      <color rgb="FFFFFFFF"/>
      <name val="Times New Roman"/>
      <family val="1"/>
    </font>
    <font>
      <sz val="10"/>
      <color theme="1"/>
      <name val="Times New Roman"/>
      <family val="1"/>
    </font>
    <font>
      <sz val="10"/>
      <color theme="0"/>
      <name val="Times New Roman"/>
      <family val="1"/>
    </font>
    <font>
      <b/>
      <sz val="14"/>
      <color rgb="FF1E3A8A"/>
      <name val="Times New Roman"/>
      <family val="1"/>
    </font>
    <font>
      <b/>
      <sz val="10"/>
      <color rgb="FF000000"/>
      <name val="Times New Roman"/>
      <family val="1"/>
    </font>
    <font>
      <sz val="10"/>
      <color rgb="FF000000"/>
      <name val="Times New Roman"/>
      <family val="1"/>
    </font>
    <font>
      <sz val="10"/>
      <color rgb="FF1E293B"/>
      <name val="Times New Roman"/>
      <family val="1"/>
    </font>
    <font>
      <sz val="14"/>
      <color theme="1"/>
      <name val="Times New Roman"/>
      <family val="1"/>
    </font>
    <font>
      <b/>
      <sz val="10"/>
      <color rgb="FF1E293B"/>
      <name val="Times New Roman"/>
      <family val="1"/>
    </font>
    <font>
      <b/>
      <sz val="10"/>
      <color rgb="FF0F172A"/>
      <name val="Times New Roman"/>
      <family val="1"/>
    </font>
    <font>
      <b/>
      <sz val="13"/>
      <color rgb="FF000000"/>
      <name val="Times New Roman"/>
      <family val="1"/>
    </font>
    <font>
      <sz val="13"/>
      <color rgb="FF000000"/>
      <name val="Times New Roman"/>
      <family val="1"/>
    </font>
    <font>
      <sz val="13"/>
      <color theme="1"/>
      <name val="Times New Roman"/>
      <family val="1"/>
    </font>
  </fonts>
  <fills count="9">
    <fill>
      <patternFill patternType="none"/>
    </fill>
    <fill>
      <patternFill patternType="gray125"/>
    </fill>
    <fill>
      <patternFill patternType="solid">
        <fgColor rgb="FFFFFFFF"/>
        <bgColor rgb="FFFFFFFF"/>
      </patternFill>
    </fill>
    <fill>
      <patternFill patternType="solid">
        <fgColor rgb="FFEFF6FF"/>
        <bgColor rgb="FFEFF6FF"/>
      </patternFill>
    </fill>
    <fill>
      <patternFill patternType="solid">
        <fgColor rgb="FF1E3A8A"/>
        <bgColor rgb="FF1E3A8A"/>
      </patternFill>
    </fill>
    <fill>
      <patternFill patternType="solid">
        <fgColor rgb="FFF8FAFC"/>
        <bgColor rgb="FFF8FAFC"/>
      </patternFill>
    </fill>
    <fill>
      <patternFill patternType="solid">
        <fgColor rgb="FFDCFCE7"/>
        <bgColor rgb="FFDCFCE7"/>
      </patternFill>
    </fill>
    <fill>
      <patternFill patternType="solid">
        <fgColor rgb="FF2563EB"/>
        <bgColor rgb="FF2563EB"/>
      </patternFill>
    </fill>
    <fill>
      <patternFill patternType="solid">
        <fgColor theme="0"/>
        <bgColor rgb="FF1E3A8A"/>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dashed">
        <color rgb="FF7F7F7F"/>
      </left>
      <right style="dashed">
        <color rgb="FF7F7F7F"/>
      </right>
      <top style="dashed">
        <color rgb="FF7F7F7F"/>
      </top>
      <bottom style="dashed">
        <color rgb="FF7F7F7F"/>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style="thin">
        <color rgb="FFCBD5E1"/>
      </left>
      <right style="thin">
        <color rgb="FFCBD5E1"/>
      </right>
      <top style="thin">
        <color rgb="FFCBD5E1"/>
      </top>
      <bottom style="double">
        <color rgb="FF1E3A8A"/>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0" fillId="0" borderId="2" xfId="0" applyBorder="1"/>
    <xf numFmtId="0" fontId="3" fillId="4" borderId="11" xfId="0" applyFont="1" applyFill="1" applyBorder="1" applyAlignment="1">
      <alignment horizontal="center" vertical="center" wrapText="1"/>
    </xf>
    <xf numFmtId="0" fontId="2" fillId="2" borderId="11" xfId="0" applyFont="1" applyFill="1" applyBorder="1" applyAlignment="1">
      <alignment horizontal="left" vertical="center" wrapText="1"/>
    </xf>
    <xf numFmtId="0" fontId="3" fillId="4" borderId="11" xfId="0" applyFont="1" applyFill="1" applyBorder="1" applyAlignment="1">
      <alignment horizontal="left" vertical="center" wrapText="1"/>
    </xf>
    <xf numFmtId="0" fontId="2" fillId="2" borderId="11"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1" xfId="0" applyFont="1" applyFill="1" applyBorder="1" applyAlignment="1">
      <alignment horizontal="left" vertical="center" wrapText="1"/>
    </xf>
    <xf numFmtId="0" fontId="3" fillId="7"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1" xfId="0" applyFont="1" applyFill="1" applyBorder="1" applyAlignment="1">
      <alignment horizontal="left" vertical="center" wrapText="1"/>
    </xf>
    <xf numFmtId="0" fontId="4" fillId="6" borderId="1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6" fillId="3" borderId="1" xfId="0" applyFont="1" applyFill="1" applyBorder="1"/>
    <xf numFmtId="0" fontId="2" fillId="0" borderId="14" xfId="0" applyFont="1" applyBorder="1" applyAlignment="1">
      <alignment horizontal="center" vertical="center"/>
    </xf>
    <xf numFmtId="0" fontId="2" fillId="0" borderId="14" xfId="0" applyFont="1" applyBorder="1" applyAlignment="1">
      <alignment vertical="center" wrapText="1"/>
    </xf>
    <xf numFmtId="0" fontId="2" fillId="0" borderId="1" xfId="0" applyFont="1" applyBorder="1"/>
    <xf numFmtId="0" fontId="0" fillId="0" borderId="3" xfId="0" applyBorder="1"/>
    <xf numFmtId="0" fontId="1" fillId="0" borderId="4" xfId="0" applyFont="1" applyBorder="1" applyAlignment="1">
      <alignment horizontal="center"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7" fillId="4" borderId="11" xfId="0" applyFont="1" applyFill="1" applyBorder="1" applyAlignment="1">
      <alignment horizontal="center" vertical="center"/>
    </xf>
    <xf numFmtId="0" fontId="8" fillId="0" borderId="0" xfId="0" applyFont="1"/>
    <xf numFmtId="0" fontId="9" fillId="4" borderId="11" xfId="0" applyFont="1" applyFill="1" applyBorder="1" applyAlignment="1">
      <alignment horizontal="center" vertical="center" wrapText="1"/>
    </xf>
    <xf numFmtId="0" fontId="9" fillId="4" borderId="11" xfId="0" applyFont="1" applyFill="1" applyBorder="1" applyAlignment="1">
      <alignment vertical="center" wrapText="1"/>
    </xf>
    <xf numFmtId="0" fontId="10" fillId="0" borderId="0" xfId="0" applyFont="1" applyAlignment="1">
      <alignment horizontal="center" vertical="center" wrapText="1"/>
    </xf>
    <xf numFmtId="0" fontId="12" fillId="0" borderId="1" xfId="0" applyFont="1" applyBorder="1" applyAlignment="1">
      <alignment horizontal="left" vertical="center" wrapText="1"/>
    </xf>
    <xf numFmtId="0" fontId="13" fillId="2" borderId="11" xfId="0" applyFont="1" applyFill="1" applyBorder="1" applyAlignment="1">
      <alignment horizontal="center" vertical="center" wrapText="1"/>
    </xf>
    <xf numFmtId="0" fontId="13" fillId="2" borderId="11" xfId="0" applyFont="1" applyFill="1" applyBorder="1" applyAlignment="1">
      <alignment horizontal="left" vertical="center" wrapText="1"/>
    </xf>
    <xf numFmtId="0" fontId="13" fillId="5" borderId="11" xfId="0" applyFont="1" applyFill="1" applyBorder="1" applyAlignment="1">
      <alignment horizontal="center" vertical="center" wrapText="1"/>
    </xf>
    <xf numFmtId="0" fontId="13" fillId="5" borderId="11" xfId="0" applyFont="1" applyFill="1" applyBorder="1" applyAlignment="1">
      <alignment horizontal="left" vertical="center" wrapText="1"/>
    </xf>
    <xf numFmtId="0" fontId="8" fillId="0" borderId="2" xfId="0" applyFont="1" applyBorder="1"/>
    <xf numFmtId="0" fontId="10" fillId="0" borderId="0" xfId="0" applyFont="1" applyAlignment="1">
      <alignment horizontal="center" vertical="center" wrapText="1"/>
    </xf>
    <xf numFmtId="0" fontId="14" fillId="0" borderId="0" xfId="0" applyFont="1"/>
    <xf numFmtId="0" fontId="11" fillId="0" borderId="1" xfId="0" applyFont="1" applyBorder="1" applyAlignment="1">
      <alignment vertical="center" wrapText="1"/>
    </xf>
    <xf numFmtId="0" fontId="8" fillId="0" borderId="10" xfId="0" applyFont="1" applyBorder="1" applyAlignment="1">
      <alignment vertical="center" wrapText="1"/>
    </xf>
    <xf numFmtId="0" fontId="8" fillId="0" borderId="3" xfId="0" applyFont="1" applyBorder="1" applyAlignment="1">
      <alignment vertical="center" wrapText="1"/>
    </xf>
    <xf numFmtId="0" fontId="7" fillId="4" borderId="11" xfId="0" applyFont="1" applyFill="1" applyBorder="1" applyAlignment="1">
      <alignment horizontal="center" vertical="center" wrapText="1"/>
    </xf>
    <xf numFmtId="0" fontId="7" fillId="8" borderId="11" xfId="0" applyFont="1" applyFill="1" applyBorder="1" applyAlignment="1">
      <alignment horizontal="center" vertical="center" wrapText="1"/>
    </xf>
    <xf numFmtId="164" fontId="13" fillId="5" borderId="11" xfId="0" applyNumberFormat="1" applyFont="1" applyFill="1" applyBorder="1" applyAlignment="1">
      <alignment horizontal="center" vertical="center" wrapText="1"/>
    </xf>
    <xf numFmtId="164" fontId="13" fillId="2" borderId="11" xfId="0" applyNumberFormat="1"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3" borderId="11" xfId="0" applyFont="1" applyFill="1" applyBorder="1" applyAlignment="1">
      <alignment horizontal="left" vertical="center" wrapText="1"/>
    </xf>
    <xf numFmtId="164" fontId="15" fillId="3" borderId="11" xfId="0" applyNumberFormat="1" applyFont="1" applyFill="1" applyBorder="1" applyAlignment="1">
      <alignment horizontal="center" vertical="center" wrapText="1"/>
    </xf>
    <xf numFmtId="0" fontId="13" fillId="5" borderId="11" xfId="0" applyFont="1" applyFill="1" applyBorder="1" applyAlignment="1">
      <alignment horizontal="center" vertical="center"/>
    </xf>
    <xf numFmtId="0" fontId="13" fillId="2" borderId="11" xfId="0" applyFont="1" applyFill="1" applyBorder="1" applyAlignment="1">
      <alignment horizontal="center" vertical="center"/>
    </xf>
    <xf numFmtId="0" fontId="16" fillId="3" borderId="13" xfId="0" applyFont="1" applyFill="1" applyBorder="1"/>
    <xf numFmtId="0" fontId="15" fillId="2" borderId="12" xfId="0" applyFont="1" applyFill="1" applyBorder="1" applyAlignment="1">
      <alignment horizontal="left" vertical="center" wrapText="1"/>
    </xf>
    <xf numFmtId="0" fontId="15" fillId="2" borderId="12" xfId="0" applyFont="1" applyFill="1" applyBorder="1" applyAlignment="1">
      <alignment horizontal="right" vertical="center"/>
    </xf>
    <xf numFmtId="0" fontId="13" fillId="2" borderId="12" xfId="0" applyFont="1" applyFill="1" applyBorder="1" applyAlignment="1">
      <alignment horizontal="left" vertical="center" wrapText="1"/>
    </xf>
    <xf numFmtId="0" fontId="17" fillId="0" borderId="1" xfId="0" applyFont="1" applyBorder="1" applyAlignment="1">
      <alignment wrapText="1"/>
    </xf>
    <xf numFmtId="0" fontId="18" fillId="0" borderId="1" xfId="0" applyFont="1" applyBorder="1" applyAlignment="1">
      <alignment wrapText="1"/>
    </xf>
    <xf numFmtId="0" fontId="19" fillId="0" borderId="3" xfId="0" applyFont="1" applyBorder="1" applyAlignment="1">
      <alignment wrapText="1"/>
    </xf>
    <xf numFmtId="0" fontId="19" fillId="0" borderId="10" xfId="0" applyFont="1" applyBorder="1" applyAlignment="1">
      <alignment wrapText="1"/>
    </xf>
    <xf numFmtId="0" fontId="8" fillId="0" borderId="14" xfId="0" applyFont="1" applyBorder="1"/>
    <xf numFmtId="0" fontId="8" fillId="0" borderId="15" xfId="0" applyFont="1" applyBorder="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Passed Percent</a:t>
            </a:r>
          </a:p>
        </c:rich>
      </c:tx>
      <c:layout>
        <c:manualLayout>
          <c:xMode val="edge"/>
          <c:yMode val="edge"/>
          <c:x val="0.10168106995884776"/>
          <c:y val="2.9052287581699348E-2"/>
        </c:manualLayout>
      </c:layout>
      <c:overlay val="1"/>
    </c:title>
    <c:autoTitleDeleted val="0"/>
    <c:plotArea>
      <c:layout/>
      <c:pieChart>
        <c:varyColors val="1"/>
        <c:ser>
          <c:idx val="0"/>
          <c:order val="0"/>
          <c:tx>
            <c:strRef>
              <c:f>'Test Report'!$M$10</c:f>
              <c:strCache>
                <c:ptCount val="1"/>
                <c:pt idx="0">
                  <c:v>Count</c:v>
                </c:pt>
              </c:strCache>
            </c:strRef>
          </c:tx>
          <c:spPr>
            <a:ln>
              <a:prstDash val="solid"/>
            </a:ln>
          </c:spPr>
          <c:dLbls>
            <c:dLbl>
              <c:idx val="1"/>
              <c:layout>
                <c:manualLayout>
                  <c:x val="-0.38142839506172838"/>
                  <c:y val="0.55789705882352936"/>
                </c:manualLayout>
              </c:layou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363A-4C33-AA47-BC6DDF1DEC0B}"/>
                </c:ext>
              </c:extLst>
            </c:dLbl>
            <c:dLbl>
              <c:idx val="2"/>
              <c:layout>
                <c:manualLayout>
                  <c:x val="-0.3834738683127572"/>
                  <c:y val="0.40984477124183005"/>
                </c:manualLayout>
              </c:layou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363A-4C33-AA47-BC6DDF1DEC0B}"/>
                </c:ext>
              </c:extLst>
            </c:dLbl>
            <c:spPr>
              <a:noFill/>
              <a:ln>
                <a:noFill/>
              </a:ln>
              <a:effectLst/>
            </c:spPr>
            <c:showLegendKey val="1"/>
            <c:showVal val="0"/>
            <c:showCatName val="1"/>
            <c:showSerName val="1"/>
            <c:showPercent val="1"/>
            <c:showBubbleSize val="1"/>
            <c:showLeaderLines val="0"/>
            <c:extLst>
              <c:ext xmlns:c15="http://schemas.microsoft.com/office/drawing/2012/chart" uri="{CE6537A1-D6FC-4f65-9D91-7224C49458BB}"/>
            </c:extLst>
          </c:dLbls>
          <c:cat>
            <c:strRef>
              <c:f>'Test Report'!$L$11:$L$13</c:f>
              <c:strCache>
                <c:ptCount val="3"/>
                <c:pt idx="0">
                  <c:v>Passed</c:v>
                </c:pt>
                <c:pt idx="1">
                  <c:v>Failed</c:v>
                </c:pt>
                <c:pt idx="2">
                  <c:v>Untested</c:v>
                </c:pt>
              </c:strCache>
            </c:strRef>
          </c:cat>
          <c:val>
            <c:numRef>
              <c:f>'Test Report'!$M$11:$M$13</c:f>
              <c:numCache>
                <c:formatCode>General</c:formatCode>
                <c:ptCount val="3"/>
                <c:pt idx="0">
                  <c:v>8</c:v>
                </c:pt>
                <c:pt idx="1">
                  <c:v>0</c:v>
                </c:pt>
                <c:pt idx="2">
                  <c:v>0</c:v>
                </c:pt>
              </c:numCache>
            </c:numRef>
          </c:val>
          <c:extLst>
            <c:ext xmlns:c16="http://schemas.microsoft.com/office/drawing/2014/chart" uri="{C3380CC4-5D6E-409C-BE32-E72D297353CC}">
              <c16:uniqueId val="{00000000-363A-4C33-AA47-BC6DDF1DEC0B}"/>
            </c:ext>
          </c:extLst>
        </c:ser>
        <c:dLbls>
          <c:showLegendKey val="1"/>
          <c:showVal val="0"/>
          <c:showCatName val="1"/>
          <c:showSerName val="1"/>
          <c:showPercent val="1"/>
          <c:showBubbleSize val="1"/>
          <c:showLeaderLines val="0"/>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Task Type</a:t>
            </a:r>
          </a:p>
        </c:rich>
      </c:tx>
      <c:overlay val="1"/>
    </c:title>
    <c:autoTitleDeleted val="0"/>
    <c:plotArea>
      <c:layout/>
      <c:pieChart>
        <c:varyColors val="1"/>
        <c:ser>
          <c:idx val="0"/>
          <c:order val="0"/>
          <c:tx>
            <c:strRef>
              <c:f>'Test Report'!$M$16</c:f>
              <c:strCache>
                <c:ptCount val="1"/>
                <c:pt idx="0">
                  <c:v>Count</c:v>
                </c:pt>
              </c:strCache>
            </c:strRef>
          </c:tx>
          <c:spPr>
            <a:ln>
              <a:prstDash val="solid"/>
            </a:ln>
          </c:spPr>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numRef>
              <c:f>'Test Report'!$L$9:$L$9</c:f>
              <c:numCache>
                <c:formatCode>General</c:formatCode>
                <c:ptCount val="1"/>
              </c:numCache>
            </c:numRef>
          </c:cat>
          <c:val>
            <c:numRef>
              <c:f>'Test Report'!$M$9:$M$9</c:f>
              <c:numCache>
                <c:formatCode>General</c:formatCode>
                <c:ptCount val="1"/>
              </c:numCache>
            </c:numRef>
          </c:val>
          <c:extLst>
            <c:ext xmlns:c16="http://schemas.microsoft.com/office/drawing/2014/chart" uri="{C3380CC4-5D6E-409C-BE32-E72D297353CC}">
              <c16:uniqueId val="{00000000-6ABA-4B7B-844A-A414E7BB99C7}"/>
            </c:ext>
          </c:extLst>
        </c:ser>
        <c:dLbls>
          <c:showLegendKey val="1"/>
          <c:showVal val="0"/>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142875</xdr:colOff>
      <xdr:row>28</xdr:row>
      <xdr:rowOff>0</xdr:rowOff>
    </xdr:from>
    <xdr:ext cx="4860000" cy="306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38100</xdr:colOff>
      <xdr:row>28</xdr:row>
      <xdr:rowOff>0</xdr:rowOff>
    </xdr:from>
    <xdr:ext cx="4860000" cy="306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7"/>
  <sheetViews>
    <sheetView topLeftCell="A9" workbookViewId="0">
      <selection activeCell="J9" sqref="J9"/>
    </sheetView>
  </sheetViews>
  <sheetFormatPr defaultRowHeight="15" x14ac:dyDescent="0.25"/>
  <cols>
    <col min="1" max="1" width="16" customWidth="1"/>
    <col min="2" max="2" width="26" customWidth="1"/>
    <col min="3" max="3" width="14" customWidth="1"/>
    <col min="4" max="4" width="22" customWidth="1"/>
    <col min="5" max="5" width="28" customWidth="1"/>
    <col min="6" max="6" width="42" customWidth="1"/>
  </cols>
  <sheetData>
    <row r="2" spans="1:6" ht="27.95" customHeight="1" x14ac:dyDescent="0.25">
      <c r="A2" s="18" t="s">
        <v>0</v>
      </c>
      <c r="B2" s="19"/>
      <c r="C2" s="19"/>
      <c r="D2" s="19"/>
      <c r="E2" s="19"/>
      <c r="F2" s="20"/>
    </row>
    <row r="3" spans="1:6" x14ac:dyDescent="0.25">
      <c r="A3" s="21"/>
      <c r="B3" s="22"/>
      <c r="C3" s="22"/>
      <c r="D3" s="22"/>
      <c r="E3" s="22"/>
      <c r="F3" s="23"/>
    </row>
    <row r="4" spans="1:6" ht="23.1" customHeight="1" x14ac:dyDescent="0.25">
      <c r="A4" s="13" t="s">
        <v>1</v>
      </c>
      <c r="B4" s="16" t="s">
        <v>2</v>
      </c>
      <c r="C4" s="17"/>
      <c r="D4" s="13" t="s">
        <v>3</v>
      </c>
      <c r="E4" s="16" t="s">
        <v>4</v>
      </c>
      <c r="F4" s="17"/>
    </row>
    <row r="5" spans="1:6" ht="23.1" customHeight="1" x14ac:dyDescent="0.25">
      <c r="A5" s="13" t="s">
        <v>5</v>
      </c>
      <c r="B5" s="16" t="s">
        <v>6</v>
      </c>
      <c r="C5" s="17"/>
      <c r="D5" s="13" t="s">
        <v>7</v>
      </c>
      <c r="E5" s="16" t="s">
        <v>8</v>
      </c>
      <c r="F5" s="17"/>
    </row>
    <row r="6" spans="1:6" ht="23.1" customHeight="1" x14ac:dyDescent="0.25">
      <c r="A6" s="13" t="s">
        <v>9</v>
      </c>
      <c r="B6" s="16" t="str">
        <f>B5&amp;"_"&amp;"TestCase_v1.0"</f>
        <v>GAMERENT_TestCase_v1.0</v>
      </c>
      <c r="C6" s="17"/>
      <c r="D6" s="13" t="s">
        <v>10</v>
      </c>
      <c r="E6" s="16" t="s">
        <v>11</v>
      </c>
      <c r="F6" s="17"/>
    </row>
    <row r="7" spans="1:6" ht="23.1" customHeight="1" x14ac:dyDescent="0.25">
      <c r="A7" s="13"/>
      <c r="B7" s="16"/>
      <c r="C7" s="17"/>
      <c r="D7" s="13" t="s">
        <v>12</v>
      </c>
      <c r="E7" s="16" t="s">
        <v>13</v>
      </c>
      <c r="F7" s="17"/>
    </row>
    <row r="9" spans="1:6" ht="53.25" customHeight="1" x14ac:dyDescent="0.25">
      <c r="A9" s="28" t="s">
        <v>14</v>
      </c>
      <c r="B9" s="25"/>
      <c r="C9" s="25"/>
      <c r="D9" s="25"/>
      <c r="E9" s="25"/>
      <c r="F9" s="25"/>
    </row>
    <row r="10" spans="1:6" ht="26.1" customHeight="1" x14ac:dyDescent="0.25">
      <c r="A10" s="24" t="s">
        <v>15</v>
      </c>
      <c r="B10" s="24" t="s">
        <v>12</v>
      </c>
      <c r="C10" s="24" t="s">
        <v>16</v>
      </c>
      <c r="D10" s="24" t="s">
        <v>17</v>
      </c>
      <c r="E10" s="24" t="s">
        <v>18</v>
      </c>
      <c r="F10" s="24" t="s">
        <v>19</v>
      </c>
    </row>
    <row r="11" spans="1:6" ht="89.25" customHeight="1" x14ac:dyDescent="0.25">
      <c r="A11" s="26" t="s">
        <v>11</v>
      </c>
      <c r="B11" s="26" t="s">
        <v>13</v>
      </c>
      <c r="C11" s="26" t="s">
        <v>20</v>
      </c>
      <c r="D11" s="26" t="s">
        <v>21</v>
      </c>
      <c r="E11" s="27" t="s">
        <v>22</v>
      </c>
      <c r="F11" s="27" t="s">
        <v>23</v>
      </c>
    </row>
    <row r="12" spans="1:6" ht="45" customHeight="1" x14ac:dyDescent="0.25">
      <c r="A12" s="14"/>
      <c r="B12" s="14"/>
      <c r="C12" s="14"/>
      <c r="D12" s="14"/>
      <c r="E12" s="15"/>
      <c r="F12" s="15"/>
    </row>
    <row r="13" spans="1:6" x14ac:dyDescent="0.25">
      <c r="A13" s="1"/>
      <c r="B13" s="1"/>
      <c r="C13" s="1"/>
      <c r="D13" s="1"/>
      <c r="E13" s="1"/>
      <c r="F13" s="1"/>
    </row>
    <row r="14" spans="1:6" x14ac:dyDescent="0.25">
      <c r="A14" s="1"/>
      <c r="B14" s="1"/>
      <c r="C14" s="1"/>
      <c r="D14" s="1"/>
      <c r="E14" s="1"/>
      <c r="F14" s="1"/>
    </row>
    <row r="15" spans="1:6" x14ac:dyDescent="0.25">
      <c r="A15" s="1"/>
      <c r="B15" s="1"/>
      <c r="C15" s="1"/>
      <c r="D15" s="1"/>
      <c r="E15" s="1"/>
      <c r="F15" s="1"/>
    </row>
    <row r="16" spans="1:6" x14ac:dyDescent="0.25">
      <c r="A16" s="1"/>
      <c r="B16" s="1"/>
      <c r="C16" s="1"/>
      <c r="D16" s="1"/>
      <c r="E16" s="1"/>
      <c r="F16" s="1"/>
    </row>
    <row r="17" spans="1:6" x14ac:dyDescent="0.25">
      <c r="A17" s="1"/>
      <c r="B17" s="1"/>
      <c r="C17" s="1"/>
      <c r="D17" s="1"/>
      <c r="E17" s="1"/>
      <c r="F17" s="1"/>
    </row>
  </sheetData>
  <mergeCells count="9">
    <mergeCell ref="E4:F4"/>
    <mergeCell ref="B6:C6"/>
    <mergeCell ref="A2:F3"/>
    <mergeCell ref="E6:F6"/>
    <mergeCell ref="B7:C7"/>
    <mergeCell ref="E7:F7"/>
    <mergeCell ref="B5:C5"/>
    <mergeCell ref="E5:F5"/>
    <mergeCell ref="B4:C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2"/>
  <sheetViews>
    <sheetView topLeftCell="A13" workbookViewId="0">
      <selection activeCell="B7" sqref="B7:H7"/>
    </sheetView>
  </sheetViews>
  <sheetFormatPr defaultRowHeight="12.75" x14ac:dyDescent="0.2"/>
  <cols>
    <col min="1" max="1" width="18.5703125" style="25" customWidth="1"/>
    <col min="2" max="2" width="32" style="25" customWidth="1"/>
    <col min="3" max="3" width="20" style="25" customWidth="1"/>
    <col min="4" max="4" width="28" style="25" customWidth="1"/>
    <col min="5" max="6" width="18" style="25" customWidth="1"/>
    <col min="7" max="7" width="65" style="25" customWidth="1"/>
    <col min="8" max="8" width="50" style="25" customWidth="1"/>
    <col min="9" max="16384" width="9.140625" style="25"/>
  </cols>
  <sheetData>
    <row r="2" spans="1:8" ht="27.95" customHeight="1" x14ac:dyDescent="0.3">
      <c r="A2" s="35" t="s">
        <v>24</v>
      </c>
      <c r="B2" s="36"/>
      <c r="C2" s="36"/>
      <c r="D2" s="36"/>
      <c r="E2" s="36"/>
      <c r="F2" s="36"/>
      <c r="G2" s="36"/>
      <c r="H2" s="36"/>
    </row>
    <row r="4" spans="1:8" ht="30.75" customHeight="1" x14ac:dyDescent="0.2">
      <c r="A4" s="37" t="s">
        <v>1</v>
      </c>
      <c r="B4" s="29" t="str">
        <f>Cover!B4</f>
        <v>GameRent - Hệ thống cho thuê tài khoản game trực tuyến tự động 24/7</v>
      </c>
      <c r="C4" s="38"/>
      <c r="D4" s="38"/>
      <c r="E4" s="38"/>
      <c r="F4" s="38"/>
      <c r="G4" s="38"/>
      <c r="H4" s="39"/>
    </row>
    <row r="5" spans="1:8" ht="30" customHeight="1" x14ac:dyDescent="0.2">
      <c r="A5" s="37" t="s">
        <v>5</v>
      </c>
      <c r="B5" s="29" t="str">
        <f>Cover!B5</f>
        <v>GAMERENT</v>
      </c>
      <c r="C5" s="38"/>
      <c r="D5" s="38"/>
      <c r="E5" s="38"/>
      <c r="F5" s="38"/>
      <c r="G5" s="38"/>
      <c r="H5" s="39"/>
    </row>
    <row r="6" spans="1:8" ht="58.5" customHeight="1" x14ac:dyDescent="0.2">
      <c r="A6" s="37" t="s">
        <v>25</v>
      </c>
      <c r="B6" s="29" t="s">
        <v>26</v>
      </c>
      <c r="C6" s="38"/>
      <c r="D6" s="38"/>
      <c r="E6" s="38"/>
      <c r="F6" s="38"/>
      <c r="G6" s="38"/>
      <c r="H6" s="39"/>
    </row>
    <row r="7" spans="1:8" ht="105.75" customHeight="1" x14ac:dyDescent="0.2">
      <c r="A7" s="37" t="s">
        <v>27</v>
      </c>
      <c r="B7" s="29" t="s">
        <v>28</v>
      </c>
      <c r="C7" s="38"/>
      <c r="D7" s="38"/>
      <c r="E7" s="38"/>
      <c r="F7" s="38"/>
      <c r="G7" s="38"/>
      <c r="H7" s="39"/>
    </row>
    <row r="10" spans="1:8" ht="54" customHeight="1" x14ac:dyDescent="0.2">
      <c r="A10" s="24" t="s">
        <v>29</v>
      </c>
      <c r="B10" s="24" t="s">
        <v>30</v>
      </c>
      <c r="C10" s="24" t="s">
        <v>31</v>
      </c>
      <c r="D10" s="24" t="s">
        <v>32</v>
      </c>
      <c r="E10" s="24" t="s">
        <v>33</v>
      </c>
      <c r="F10" s="24" t="s">
        <v>34</v>
      </c>
      <c r="G10" s="24" t="s">
        <v>35</v>
      </c>
      <c r="H10" s="24" t="s">
        <v>36</v>
      </c>
    </row>
    <row r="11" spans="1:8" ht="48" customHeight="1" x14ac:dyDescent="0.2">
      <c r="A11" s="30">
        <v>1</v>
      </c>
      <c r="B11" s="31" t="s">
        <v>37</v>
      </c>
      <c r="C11" s="31" t="s">
        <v>38</v>
      </c>
      <c r="D11" s="31" t="s">
        <v>39</v>
      </c>
      <c r="E11" s="30" t="s">
        <v>40</v>
      </c>
      <c r="F11" s="30" t="s">
        <v>40</v>
      </c>
      <c r="G11" s="31" t="s">
        <v>41</v>
      </c>
      <c r="H11" s="31" t="s">
        <v>42</v>
      </c>
    </row>
    <row r="12" spans="1:8" ht="48.75" customHeight="1" x14ac:dyDescent="0.2">
      <c r="A12" s="32">
        <v>2</v>
      </c>
      <c r="B12" s="33" t="s">
        <v>43</v>
      </c>
      <c r="C12" s="33" t="s">
        <v>38</v>
      </c>
      <c r="D12" s="33" t="s">
        <v>44</v>
      </c>
      <c r="E12" s="32" t="s">
        <v>45</v>
      </c>
      <c r="F12" s="32" t="s">
        <v>45</v>
      </c>
      <c r="G12" s="33" t="s">
        <v>46</v>
      </c>
      <c r="H12" s="33" t="s">
        <v>47</v>
      </c>
    </row>
    <row r="13" spans="1:8" ht="47.25" customHeight="1" x14ac:dyDescent="0.2">
      <c r="A13" s="30">
        <v>3</v>
      </c>
      <c r="B13" s="31" t="s">
        <v>48</v>
      </c>
      <c r="C13" s="31" t="s">
        <v>38</v>
      </c>
      <c r="D13" s="31" t="s">
        <v>49</v>
      </c>
      <c r="E13" s="30" t="s">
        <v>50</v>
      </c>
      <c r="F13" s="30" t="s">
        <v>50</v>
      </c>
      <c r="G13" s="31" t="s">
        <v>51</v>
      </c>
      <c r="H13" s="31" t="s">
        <v>52</v>
      </c>
    </row>
    <row r="14" spans="1:8" ht="47.25" customHeight="1" x14ac:dyDescent="0.2">
      <c r="A14" s="32">
        <v>4</v>
      </c>
      <c r="B14" s="33" t="s">
        <v>53</v>
      </c>
      <c r="C14" s="33" t="s">
        <v>38</v>
      </c>
      <c r="D14" s="33" t="s">
        <v>54</v>
      </c>
      <c r="E14" s="32" t="s">
        <v>55</v>
      </c>
      <c r="F14" s="32" t="s">
        <v>55</v>
      </c>
      <c r="G14" s="33" t="s">
        <v>56</v>
      </c>
      <c r="H14" s="33" t="s">
        <v>57</v>
      </c>
    </row>
    <row r="15" spans="1:8" ht="48" customHeight="1" x14ac:dyDescent="0.2">
      <c r="A15" s="30">
        <v>5</v>
      </c>
      <c r="B15" s="31" t="s">
        <v>58</v>
      </c>
      <c r="C15" s="31" t="s">
        <v>38</v>
      </c>
      <c r="D15" s="31" t="s">
        <v>59</v>
      </c>
      <c r="E15" s="30" t="s">
        <v>60</v>
      </c>
      <c r="F15" s="30" t="s">
        <v>60</v>
      </c>
      <c r="G15" s="31" t="s">
        <v>61</v>
      </c>
      <c r="H15" s="31" t="s">
        <v>62</v>
      </c>
    </row>
    <row r="16" spans="1:8" ht="48.75" customHeight="1" x14ac:dyDescent="0.2">
      <c r="A16" s="32">
        <v>6</v>
      </c>
      <c r="B16" s="33" t="s">
        <v>63</v>
      </c>
      <c r="C16" s="33" t="s">
        <v>38</v>
      </c>
      <c r="D16" s="33" t="s">
        <v>64</v>
      </c>
      <c r="E16" s="32" t="s">
        <v>65</v>
      </c>
      <c r="F16" s="32" t="s">
        <v>65</v>
      </c>
      <c r="G16" s="33" t="s">
        <v>66</v>
      </c>
      <c r="H16" s="33" t="s">
        <v>67</v>
      </c>
    </row>
    <row r="17" spans="1:8" ht="48" customHeight="1" x14ac:dyDescent="0.2">
      <c r="A17" s="30">
        <v>7</v>
      </c>
      <c r="B17" s="31" t="s">
        <v>68</v>
      </c>
      <c r="C17" s="31" t="s">
        <v>38</v>
      </c>
      <c r="D17" s="31" t="s">
        <v>69</v>
      </c>
      <c r="E17" s="30" t="s">
        <v>70</v>
      </c>
      <c r="F17" s="30" t="s">
        <v>70</v>
      </c>
      <c r="G17" s="31" t="s">
        <v>71</v>
      </c>
      <c r="H17" s="31" t="s">
        <v>72</v>
      </c>
    </row>
    <row r="18" spans="1:8" ht="46.5" customHeight="1" x14ac:dyDescent="0.2">
      <c r="A18" s="32">
        <v>8</v>
      </c>
      <c r="B18" s="33" t="s">
        <v>73</v>
      </c>
      <c r="C18" s="33" t="s">
        <v>38</v>
      </c>
      <c r="D18" s="33" t="s">
        <v>74</v>
      </c>
      <c r="E18" s="32" t="s">
        <v>75</v>
      </c>
      <c r="F18" s="32" t="s">
        <v>75</v>
      </c>
      <c r="G18" s="33" t="s">
        <v>76</v>
      </c>
      <c r="H18" s="33" t="s">
        <v>77</v>
      </c>
    </row>
    <row r="19" spans="1:8" ht="48.75" customHeight="1" x14ac:dyDescent="0.2">
      <c r="A19" s="30">
        <v>9</v>
      </c>
      <c r="B19" s="31" t="s">
        <v>78</v>
      </c>
      <c r="C19" s="31" t="s">
        <v>79</v>
      </c>
      <c r="D19" s="31" t="s">
        <v>80</v>
      </c>
      <c r="E19" s="30" t="s">
        <v>81</v>
      </c>
      <c r="F19" s="30" t="s">
        <v>81</v>
      </c>
      <c r="G19" s="31" t="s">
        <v>82</v>
      </c>
      <c r="H19" s="31" t="s">
        <v>83</v>
      </c>
    </row>
    <row r="20" spans="1:8" ht="48" customHeight="1" x14ac:dyDescent="0.2">
      <c r="A20" s="32">
        <v>10</v>
      </c>
      <c r="B20" s="33" t="s">
        <v>84</v>
      </c>
      <c r="C20" s="33" t="s">
        <v>85</v>
      </c>
      <c r="D20" s="33" t="s">
        <v>86</v>
      </c>
      <c r="E20" s="32" t="s">
        <v>87</v>
      </c>
      <c r="F20" s="32" t="s">
        <v>87</v>
      </c>
      <c r="G20" s="33" t="s">
        <v>88</v>
      </c>
      <c r="H20" s="33" t="s">
        <v>89</v>
      </c>
    </row>
    <row r="21" spans="1:8" x14ac:dyDescent="0.2">
      <c r="A21" s="34"/>
      <c r="B21" s="34"/>
      <c r="C21" s="34"/>
      <c r="D21" s="34"/>
      <c r="E21" s="34"/>
      <c r="F21" s="34"/>
      <c r="G21" s="34"/>
      <c r="H21" s="34"/>
    </row>
    <row r="22" spans="1:8" x14ac:dyDescent="0.2">
      <c r="A22" s="34"/>
      <c r="B22" s="34"/>
      <c r="C22" s="34"/>
      <c r="D22" s="34"/>
      <c r="E22" s="34"/>
      <c r="F22" s="34"/>
      <c r="G22" s="34"/>
      <c r="H22" s="34"/>
    </row>
  </sheetData>
  <mergeCells count="5">
    <mergeCell ref="B4:H4"/>
    <mergeCell ref="A2:H2"/>
    <mergeCell ref="B6:H6"/>
    <mergeCell ref="B7:H7"/>
    <mergeCell ref="B5:H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28"/>
  <sheetViews>
    <sheetView topLeftCell="A34" workbookViewId="0">
      <selection activeCell="P13" sqref="P13"/>
    </sheetView>
  </sheetViews>
  <sheetFormatPr defaultRowHeight="12.75" x14ac:dyDescent="0.2"/>
  <cols>
    <col min="1" max="1" width="14.5703125" style="25" customWidth="1"/>
    <col min="2" max="2" width="24" style="25" customWidth="1"/>
    <col min="3" max="8" width="14" style="25" customWidth="1"/>
    <col min="9" max="9" width="18" style="25" customWidth="1"/>
    <col min="10" max="11" width="4" style="25" customWidth="1"/>
    <col min="12" max="12" width="14" style="25" customWidth="1"/>
    <col min="13" max="13" width="10" style="25" customWidth="1"/>
    <col min="14" max="16384" width="9.140625" style="25"/>
  </cols>
  <sheetData>
    <row r="2" spans="1:13" ht="27.95" customHeight="1" x14ac:dyDescent="0.3">
      <c r="A2" s="35" t="s">
        <v>90</v>
      </c>
      <c r="B2" s="36"/>
      <c r="C2" s="36"/>
      <c r="D2" s="36"/>
      <c r="E2" s="36"/>
      <c r="F2" s="36"/>
      <c r="G2" s="36"/>
      <c r="H2" s="36"/>
      <c r="I2" s="36"/>
    </row>
    <row r="4" spans="1:13" ht="33" x14ac:dyDescent="0.25">
      <c r="A4" s="53" t="s">
        <v>1</v>
      </c>
      <c r="B4" s="54" t="str">
        <f>Cover!B4</f>
        <v>GameRent - Hệ thống cho thuê tài khoản game trực tuyến tự động 24/7</v>
      </c>
      <c r="C4" s="55"/>
      <c r="D4" s="53" t="s">
        <v>3</v>
      </c>
      <c r="E4" s="54" t="str">
        <f>Cover!E4</f>
        <v>Nhóm 15 - Lớp Kiểm thử phần mềm-1-1-26(N05)</v>
      </c>
      <c r="F4" s="56"/>
      <c r="G4" s="56"/>
      <c r="H4" s="56"/>
      <c r="I4" s="55"/>
    </row>
    <row r="5" spans="1:13" ht="33" x14ac:dyDescent="0.25">
      <c r="A5" s="53" t="s">
        <v>5</v>
      </c>
      <c r="B5" s="54" t="str">
        <f>Cover!B5</f>
        <v>GAMERENT</v>
      </c>
      <c r="C5" s="55"/>
      <c r="D5" s="53" t="s">
        <v>7</v>
      </c>
      <c r="E5" s="54" t="str">
        <f>Cover!E5</f>
        <v>ThS. Phạm Thị Loan</v>
      </c>
      <c r="F5" s="56"/>
      <c r="G5" s="56"/>
      <c r="H5" s="56"/>
      <c r="I5" s="55"/>
    </row>
    <row r="6" spans="1:13" ht="33" x14ac:dyDescent="0.25">
      <c r="A6" s="53" t="s">
        <v>9</v>
      </c>
      <c r="B6" s="54" t="str">
        <f>B5&amp;"_"&amp;"Test Report_v1.0"</f>
        <v>GAMERENT_Test Report_v1.0</v>
      </c>
      <c r="C6" s="55"/>
      <c r="D6" s="53" t="s">
        <v>10</v>
      </c>
      <c r="E6" s="54" t="s">
        <v>11</v>
      </c>
      <c r="F6" s="56"/>
      <c r="G6" s="56"/>
      <c r="H6" s="56"/>
      <c r="I6" s="55"/>
    </row>
    <row r="7" spans="1:13" ht="16.5" x14ac:dyDescent="0.25">
      <c r="A7" s="53" t="s">
        <v>96</v>
      </c>
      <c r="B7" s="54" t="s">
        <v>97</v>
      </c>
      <c r="C7" s="56"/>
      <c r="D7" s="56"/>
      <c r="E7" s="56"/>
      <c r="F7" s="56"/>
      <c r="G7" s="56"/>
      <c r="H7" s="56"/>
      <c r="I7" s="55"/>
    </row>
    <row r="10" spans="1:13" ht="26.1" customHeight="1" x14ac:dyDescent="0.2">
      <c r="A10" s="40" t="s">
        <v>29</v>
      </c>
      <c r="B10" s="40" t="s">
        <v>100</v>
      </c>
      <c r="C10" s="40" t="s">
        <v>93</v>
      </c>
      <c r="D10" s="40" t="s">
        <v>94</v>
      </c>
      <c r="E10" s="40" t="s">
        <v>95</v>
      </c>
      <c r="F10" s="40" t="s">
        <v>99</v>
      </c>
      <c r="G10" s="40" t="s">
        <v>21</v>
      </c>
      <c r="H10" s="40" t="s">
        <v>101</v>
      </c>
      <c r="I10" s="40" t="s">
        <v>102</v>
      </c>
      <c r="K10" s="57"/>
      <c r="L10" s="58" t="s">
        <v>91</v>
      </c>
      <c r="M10" s="58" t="s">
        <v>92</v>
      </c>
    </row>
    <row r="11" spans="1:13" ht="23.1" customHeight="1" x14ac:dyDescent="0.25">
      <c r="A11" s="30">
        <v>1</v>
      </c>
      <c r="B11" s="31" t="s">
        <v>40</v>
      </c>
      <c r="C11" s="30">
        <f>F_AUTH_REG!A7</f>
        <v>16</v>
      </c>
      <c r="D11" s="30">
        <f>F_AUTH_REG!C7</f>
        <v>0</v>
      </c>
      <c r="E11" s="30">
        <f>F_AUTH_REG!E7</f>
        <v>0</v>
      </c>
      <c r="F11" s="30">
        <f>F_AUTH_REG!K7</f>
        <v>3</v>
      </c>
      <c r="G11" s="30">
        <f>F_AUTH_REG!L7</f>
        <v>6</v>
      </c>
      <c r="H11" s="30">
        <f>F_AUTH_REG!M7</f>
        <v>7</v>
      </c>
      <c r="I11" s="30">
        <f>F_AUTH_REG!N7</f>
        <v>16</v>
      </c>
      <c r="J11" s="41"/>
      <c r="K11"/>
      <c r="L11" s="58" t="s">
        <v>93</v>
      </c>
      <c r="M11" s="58">
        <f>C16</f>
        <v>8</v>
      </c>
    </row>
    <row r="12" spans="1:13" ht="23.1" customHeight="1" x14ac:dyDescent="0.25">
      <c r="A12" s="32">
        <v>2</v>
      </c>
      <c r="B12" s="33" t="s">
        <v>45</v>
      </c>
      <c r="C12" s="32">
        <f>F_AUTH_LOGIN!A7</f>
        <v>9</v>
      </c>
      <c r="D12" s="32">
        <f>F_AUTH_LOGIN!C7</f>
        <v>0</v>
      </c>
      <c r="E12" s="32">
        <f>F_AUTH_LOGIN!E7</f>
        <v>0</v>
      </c>
      <c r="F12" s="32">
        <f>F_AUTH_LOGIN!K7</f>
        <v>4</v>
      </c>
      <c r="G12" s="32">
        <f>F_AUTH_LOGIN!L7</f>
        <v>5</v>
      </c>
      <c r="H12" s="32">
        <f>F_AUTH_LOGIN!M7</f>
        <v>0</v>
      </c>
      <c r="I12" s="32">
        <f>F_AUTH_LOGIN!N7</f>
        <v>9</v>
      </c>
      <c r="J12" s="47"/>
      <c r="K12"/>
      <c r="L12" s="58" t="s">
        <v>94</v>
      </c>
      <c r="M12" s="58">
        <f>D16</f>
        <v>0</v>
      </c>
    </row>
    <row r="13" spans="1:13" ht="23.1" customHeight="1" x14ac:dyDescent="0.2">
      <c r="A13" s="30">
        <v>3</v>
      </c>
      <c r="B13" s="31" t="s">
        <v>50</v>
      </c>
      <c r="C13" s="30">
        <f>F_WAL_DEP!A7</f>
        <v>10</v>
      </c>
      <c r="D13" s="30">
        <f>F_WAL_DEP!C7</f>
        <v>0</v>
      </c>
      <c r="E13" s="30">
        <f>F_WAL_DEP!E7</f>
        <v>0</v>
      </c>
      <c r="F13" s="30">
        <f>F_WAL_DEP!K7</f>
        <v>2</v>
      </c>
      <c r="G13" s="30">
        <f>F_WAL_DEP!L7</f>
        <v>2</v>
      </c>
      <c r="H13" s="30">
        <f>F_WAL_DEP!M7</f>
        <v>6</v>
      </c>
      <c r="I13" s="30">
        <f>F_WAL_DEP!N7</f>
        <v>10</v>
      </c>
      <c r="J13" s="48"/>
      <c r="K13" s="48"/>
      <c r="L13" s="58" t="s">
        <v>95</v>
      </c>
      <c r="M13" s="58">
        <f>E16</f>
        <v>0</v>
      </c>
    </row>
    <row r="14" spans="1:13" ht="23.1" customHeight="1" x14ac:dyDescent="0.2">
      <c r="A14" s="32">
        <v>4</v>
      </c>
      <c r="B14" s="33" t="s">
        <v>55</v>
      </c>
      <c r="C14" s="32">
        <f>F_RENT_CALC!A7</f>
        <v>14</v>
      </c>
      <c r="D14" s="32">
        <f>F_RENT_CALC!C7</f>
        <v>0</v>
      </c>
      <c r="E14" s="32">
        <f>F_RENT_CALC!E7</f>
        <v>0</v>
      </c>
      <c r="F14" s="32">
        <f>F_RENT_CALC!K7</f>
        <v>6</v>
      </c>
      <c r="G14" s="32">
        <f>F_RENT_CALC!L7</f>
        <v>4</v>
      </c>
      <c r="H14" s="32">
        <f>F_RENT_CALC!M7</f>
        <v>4</v>
      </c>
      <c r="I14" s="32">
        <f>F_RENT_CALC!N7</f>
        <v>14</v>
      </c>
      <c r="J14" s="47"/>
      <c r="K14" s="47"/>
      <c r="L14" s="58"/>
      <c r="M14" s="58"/>
    </row>
    <row r="15" spans="1:13" ht="23.1" customHeight="1" x14ac:dyDescent="0.2">
      <c r="A15" s="30">
        <v>5</v>
      </c>
      <c r="B15" s="31" t="s">
        <v>60</v>
      </c>
      <c r="C15" s="30">
        <f>F_ADM_PROD!A7</f>
        <v>15</v>
      </c>
      <c r="D15" s="30">
        <f>F_ADM_PROD!C7</f>
        <v>0</v>
      </c>
      <c r="E15" s="30">
        <f>F_ADM_PROD!E7</f>
        <v>0</v>
      </c>
      <c r="F15" s="30">
        <f>F_ADM_PROD!K7</f>
        <v>1</v>
      </c>
      <c r="G15" s="30">
        <f>F_ADM_PROD!L7</f>
        <v>5</v>
      </c>
      <c r="H15" s="30">
        <f>F_ADM_PROD!M7</f>
        <v>9</v>
      </c>
      <c r="I15" s="30">
        <f>F_ADM_PROD!N7</f>
        <v>15</v>
      </c>
      <c r="J15" s="48"/>
      <c r="K15" s="48"/>
      <c r="L15" s="58"/>
      <c r="M15" s="58"/>
    </row>
    <row r="16" spans="1:13" ht="23.1" customHeight="1" x14ac:dyDescent="0.2">
      <c r="A16" s="32">
        <v>6</v>
      </c>
      <c r="B16" s="33" t="s">
        <v>65</v>
      </c>
      <c r="C16" s="32">
        <f>F_REF_EXT!A7</f>
        <v>8</v>
      </c>
      <c r="D16" s="32">
        <f>F_REF_EXT!C7</f>
        <v>0</v>
      </c>
      <c r="E16" s="32">
        <f>F_REF_EXT!E7</f>
        <v>0</v>
      </c>
      <c r="F16" s="32">
        <f>F_REF_EXT!K7</f>
        <v>5</v>
      </c>
      <c r="G16" s="32">
        <f>F_REF_EXT!L7</f>
        <v>1</v>
      </c>
      <c r="H16" s="32">
        <f>F_REF_EXT!M7</f>
        <v>2</v>
      </c>
      <c r="I16" s="32">
        <f>F_REF_EXT!N7</f>
        <v>8</v>
      </c>
      <c r="J16" s="47"/>
      <c r="K16" s="47"/>
      <c r="L16" s="58" t="s">
        <v>98</v>
      </c>
      <c r="M16" s="58" t="s">
        <v>92</v>
      </c>
    </row>
    <row r="17" spans="1:13" ht="23.1" customHeight="1" x14ac:dyDescent="0.2">
      <c r="A17" s="30">
        <v>7</v>
      </c>
      <c r="B17" s="31" t="s">
        <v>70</v>
      </c>
      <c r="C17" s="30">
        <f>F_AUTO_PASS!A7</f>
        <v>10</v>
      </c>
      <c r="D17" s="30">
        <f>F_AUTO_PASS!C7</f>
        <v>0</v>
      </c>
      <c r="E17" s="30">
        <f>F_AUTO_PASS!E7</f>
        <v>0</v>
      </c>
      <c r="F17" s="30">
        <f>F_AUTO_PASS!K7</f>
        <v>7</v>
      </c>
      <c r="G17" s="30">
        <f>F_AUTO_PASS!L7</f>
        <v>3</v>
      </c>
      <c r="H17" s="30">
        <f>F_AUTO_PASS!M7</f>
        <v>0</v>
      </c>
      <c r="I17" s="30">
        <f>F_AUTO_PASS!N7</f>
        <v>10</v>
      </c>
      <c r="J17" s="48"/>
      <c r="K17" s="48"/>
      <c r="L17" s="58" t="s">
        <v>99</v>
      </c>
      <c r="M17" s="58">
        <f>F16</f>
        <v>5</v>
      </c>
    </row>
    <row r="18" spans="1:13" ht="23.1" customHeight="1" x14ac:dyDescent="0.2">
      <c r="A18" s="32">
        <v>8</v>
      </c>
      <c r="B18" s="33" t="s">
        <v>75</v>
      </c>
      <c r="C18" s="32">
        <f>F_AUTH_CHG_PWD!A7</f>
        <v>8</v>
      </c>
      <c r="D18" s="42">
        <f>F_AUTH_CHG_PWD!C7</f>
        <v>0</v>
      </c>
      <c r="E18" s="32">
        <f>F_AUTH_CHG_PWD!E7</f>
        <v>0</v>
      </c>
      <c r="F18" s="32">
        <f>F_AUTH_CHG_PWD!K7</f>
        <v>1</v>
      </c>
      <c r="G18" s="32">
        <f>F_AUTH_CHG_PWD!L7</f>
        <v>5</v>
      </c>
      <c r="H18" s="32">
        <f>F_AUTH_CHG_PWD!M7</f>
        <v>2</v>
      </c>
      <c r="I18" s="32">
        <f>F_AUTH_CHG_PWD!N7</f>
        <v>8</v>
      </c>
      <c r="J18" s="47"/>
      <c r="K18" s="47"/>
      <c r="L18" s="58" t="s">
        <v>21</v>
      </c>
      <c r="M18" s="58">
        <f>G16</f>
        <v>1</v>
      </c>
    </row>
    <row r="19" spans="1:13" ht="23.1" customHeight="1" x14ac:dyDescent="0.2">
      <c r="A19" s="30">
        <v>9</v>
      </c>
      <c r="B19" s="31" t="s">
        <v>81</v>
      </c>
      <c r="C19" s="30">
        <f>F_CRM_SYNC!A7</f>
        <v>5</v>
      </c>
      <c r="D19" s="43">
        <f>F_CRM_SYNC!C7</f>
        <v>0</v>
      </c>
      <c r="E19" s="30">
        <f>F_CRM_SYNC!E7</f>
        <v>0</v>
      </c>
      <c r="F19" s="30">
        <f>F_CRM_SYNC!K7</f>
        <v>5</v>
      </c>
      <c r="G19" s="30">
        <f>F_CRM_SYNC!L7</f>
        <v>0</v>
      </c>
      <c r="H19" s="30">
        <f>F_CRM_SYNC!M7</f>
        <v>0</v>
      </c>
      <c r="I19" s="30">
        <f>F_CRM_SYNC!N7</f>
        <v>5</v>
      </c>
      <c r="J19" s="48"/>
      <c r="K19" s="48"/>
      <c r="L19" s="48"/>
      <c r="M19" s="48"/>
    </row>
    <row r="20" spans="1:13" ht="23.1" customHeight="1" x14ac:dyDescent="0.2">
      <c r="A20" s="32">
        <v>10</v>
      </c>
      <c r="B20" s="33" t="s">
        <v>87</v>
      </c>
      <c r="C20" s="32">
        <f>F_FAV_SEP!A7</f>
        <v>5</v>
      </c>
      <c r="D20" s="42">
        <f>F_FAV_SEP!C7</f>
        <v>0</v>
      </c>
      <c r="E20" s="32">
        <f>F_FAV_SEP!E7</f>
        <v>0</v>
      </c>
      <c r="F20" s="32">
        <f>F_FAV_SEP!K7</f>
        <v>5</v>
      </c>
      <c r="G20" s="32">
        <f>F_FAV_SEP!L7</f>
        <v>0</v>
      </c>
      <c r="H20" s="32">
        <f>F_FAV_SEP!M7</f>
        <v>0</v>
      </c>
      <c r="I20" s="32">
        <f>F_FAV_SEP!N7</f>
        <v>5</v>
      </c>
      <c r="J20" s="47"/>
      <c r="K20" s="47"/>
      <c r="L20" s="47"/>
      <c r="M20" s="47"/>
    </row>
    <row r="21" spans="1:13" ht="24.95" customHeight="1" x14ac:dyDescent="0.2">
      <c r="A21" s="44"/>
      <c r="B21" s="45" t="s">
        <v>103</v>
      </c>
      <c r="C21" s="44">
        <f t="shared" ref="C21:I21" si="0">SUM(C11:C20)</f>
        <v>100</v>
      </c>
      <c r="D21" s="46">
        <f t="shared" si="0"/>
        <v>0</v>
      </c>
      <c r="E21" s="44">
        <f t="shared" si="0"/>
        <v>0</v>
      </c>
      <c r="F21" s="44">
        <f t="shared" si="0"/>
        <v>39</v>
      </c>
      <c r="G21" s="44">
        <f t="shared" si="0"/>
        <v>31</v>
      </c>
      <c r="H21" s="44">
        <f t="shared" si="0"/>
        <v>30</v>
      </c>
      <c r="I21" s="44">
        <f t="shared" si="0"/>
        <v>100</v>
      </c>
      <c r="J21" s="48"/>
      <c r="K21" s="48"/>
      <c r="L21" s="48"/>
      <c r="M21" s="48"/>
    </row>
    <row r="22" spans="1:13" ht="24.95" customHeight="1" x14ac:dyDescent="0.2">
      <c r="A22" s="44"/>
      <c r="B22" s="45"/>
      <c r="C22" s="44"/>
      <c r="D22" s="46"/>
      <c r="E22" s="44"/>
      <c r="F22" s="44"/>
      <c r="G22" s="44"/>
      <c r="H22" s="44"/>
      <c r="I22" s="44"/>
      <c r="J22" s="49"/>
      <c r="K22" s="49"/>
      <c r="L22" s="49"/>
      <c r="M22" s="49"/>
    </row>
    <row r="23" spans="1:13" ht="23.1" customHeight="1" x14ac:dyDescent="0.2">
      <c r="B23" s="50" t="s">
        <v>104</v>
      </c>
      <c r="D23" s="51">
        <f>(C21+D21)*100/(I21)</f>
        <v>100</v>
      </c>
      <c r="E23" s="52" t="s">
        <v>105</v>
      </c>
    </row>
    <row r="24" spans="1:13" ht="23.1" customHeight="1" x14ac:dyDescent="0.2">
      <c r="B24" s="50" t="s">
        <v>106</v>
      </c>
      <c r="D24" s="51">
        <f>C21*100/(I21)</f>
        <v>100</v>
      </c>
      <c r="E24" s="52" t="s">
        <v>105</v>
      </c>
    </row>
    <row r="25" spans="1:13" ht="23.1" customHeight="1" x14ac:dyDescent="0.2">
      <c r="B25" s="50" t="s">
        <v>107</v>
      </c>
      <c r="D25" s="51">
        <f>F21*100/I21</f>
        <v>39</v>
      </c>
      <c r="E25" s="52" t="s">
        <v>105</v>
      </c>
    </row>
    <row r="26" spans="1:13" ht="23.1" customHeight="1" x14ac:dyDescent="0.2">
      <c r="B26" s="50" t="s">
        <v>108</v>
      </c>
      <c r="D26" s="51">
        <f>G21*100/I21</f>
        <v>31</v>
      </c>
      <c r="E26" s="52" t="s">
        <v>105</v>
      </c>
    </row>
    <row r="27" spans="1:13" ht="23.1" customHeight="1" x14ac:dyDescent="0.2">
      <c r="B27" s="50" t="s">
        <v>109</v>
      </c>
      <c r="D27" s="51">
        <f>H21*100/I21</f>
        <v>30</v>
      </c>
      <c r="E27" s="52" t="s">
        <v>105</v>
      </c>
    </row>
    <row r="28" spans="1:13" x14ac:dyDescent="0.2">
      <c r="B28" s="50"/>
      <c r="D28" s="51"/>
      <c r="E28" s="52"/>
    </row>
  </sheetData>
  <mergeCells count="8">
    <mergeCell ref="B6:C6"/>
    <mergeCell ref="A2:I2"/>
    <mergeCell ref="E4:I4"/>
    <mergeCell ref="E6:I6"/>
    <mergeCell ref="B7:I7"/>
    <mergeCell ref="B5:C5"/>
    <mergeCell ref="E5:I5"/>
    <mergeCell ref="B4:C4"/>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51"/>
  <sheetViews>
    <sheetView topLeftCell="A30" workbookViewId="0">
      <selection activeCell="D5" sqref="D5"/>
    </sheetView>
  </sheetViews>
  <sheetFormatPr defaultRowHeight="15" x14ac:dyDescent="0.25"/>
  <cols>
    <col min="1" max="1" width="22.5703125" style="59" customWidth="1"/>
    <col min="2" max="2" width="24" style="59" customWidth="1"/>
    <col min="3" max="3" width="21.85546875" style="59" customWidth="1"/>
    <col min="4" max="4" width="48" style="59" customWidth="1"/>
    <col min="5" max="5" width="17.7109375" style="59" customWidth="1"/>
    <col min="6" max="6" width="9.42578125" style="59" customWidth="1"/>
    <col min="7" max="7" width="14" style="59" customWidth="1"/>
    <col min="8" max="20" width="9.42578125" style="59" customWidth="1"/>
    <col min="21" max="16384" width="9.140625" style="59"/>
  </cols>
  <sheetData>
    <row r="2" spans="1:20" ht="43.5" customHeight="1" x14ac:dyDescent="0.25">
      <c r="A2" s="6" t="s">
        <v>110</v>
      </c>
      <c r="C2" s="5" t="s">
        <v>40</v>
      </c>
      <c r="E2" s="6" t="s">
        <v>32</v>
      </c>
      <c r="G2" s="5" t="s">
        <v>39</v>
      </c>
    </row>
    <row r="3" spans="1:20" ht="44.25" customHeight="1" x14ac:dyDescent="0.25">
      <c r="A3" s="6" t="s">
        <v>111</v>
      </c>
      <c r="C3" s="5" t="s">
        <v>112</v>
      </c>
      <c r="E3" s="6" t="s">
        <v>113</v>
      </c>
      <c r="G3" s="5" t="s">
        <v>114</v>
      </c>
    </row>
    <row r="4" spans="1:20" ht="21.95" customHeight="1" x14ac:dyDescent="0.25">
      <c r="A4" s="6" t="s">
        <v>115</v>
      </c>
      <c r="C4" s="5">
        <v>52</v>
      </c>
    </row>
    <row r="5" spans="1:20" ht="90.75" customHeight="1" x14ac:dyDescent="0.25">
      <c r="A5" s="6" t="s">
        <v>116</v>
      </c>
      <c r="C5" s="5" t="s">
        <v>41</v>
      </c>
    </row>
    <row r="6" spans="1:20" ht="21.95" customHeight="1" x14ac:dyDescent="0.25">
      <c r="A6" s="8" t="s">
        <v>93</v>
      </c>
      <c r="C6" s="8" t="s">
        <v>94</v>
      </c>
      <c r="E6" s="8" t="s">
        <v>95</v>
      </c>
      <c r="K6" s="8" t="s">
        <v>117</v>
      </c>
      <c r="L6" s="8"/>
      <c r="M6" s="8"/>
      <c r="N6" s="8" t="s">
        <v>102</v>
      </c>
    </row>
    <row r="7" spans="1:20" ht="24" customHeight="1" x14ac:dyDescent="0.25">
      <c r="A7" s="6">
        <f>COUNTIF(E49:T49,"P")</f>
        <v>16</v>
      </c>
      <c r="C7" s="6">
        <f>COUNTIF(E49:T49,"F")</f>
        <v>0</v>
      </c>
      <c r="E7" s="6">
        <f>SUM(N7,-A7,-C7)</f>
        <v>0</v>
      </c>
      <c r="K7" s="6">
        <f>COUNTIF(E48:T48,"N")</f>
        <v>3</v>
      </c>
      <c r="L7" s="6">
        <f>COUNTIF(E48:T48,"A")</f>
        <v>6</v>
      </c>
      <c r="M7" s="6">
        <f>COUNTIF(E48:T48,"B")</f>
        <v>7</v>
      </c>
      <c r="N7" s="6">
        <f>COUNTA(E9:T9)</f>
        <v>16</v>
      </c>
    </row>
    <row r="8" spans="1:20" ht="9.9499999999999993" customHeight="1" x14ac:dyDescent="0.25"/>
    <row r="9" spans="1:20" ht="24" customHeight="1" x14ac:dyDescent="0.25">
      <c r="E9" s="2" t="s">
        <v>118</v>
      </c>
      <c r="F9" s="2" t="s">
        <v>119</v>
      </c>
      <c r="G9" s="2" t="s">
        <v>120</v>
      </c>
      <c r="H9" s="2" t="s">
        <v>121</v>
      </c>
      <c r="I9" s="2" t="s">
        <v>122</v>
      </c>
      <c r="J9" s="2" t="s">
        <v>123</v>
      </c>
      <c r="K9" s="2" t="s">
        <v>124</v>
      </c>
      <c r="L9" s="2" t="s">
        <v>125</v>
      </c>
      <c r="M9" s="2" t="s">
        <v>126</v>
      </c>
      <c r="N9" s="2" t="s">
        <v>127</v>
      </c>
      <c r="O9" s="2" t="s">
        <v>128</v>
      </c>
      <c r="P9" s="2" t="s">
        <v>129</v>
      </c>
      <c r="Q9" s="2" t="s">
        <v>130</v>
      </c>
      <c r="R9" s="2" t="s">
        <v>131</v>
      </c>
      <c r="S9" s="2" t="s">
        <v>132</v>
      </c>
      <c r="T9" s="2" t="s">
        <v>133</v>
      </c>
    </row>
    <row r="10" spans="1:20" ht="21.95" customHeight="1" x14ac:dyDescent="0.25">
      <c r="A10" s="2" t="s">
        <v>134</v>
      </c>
      <c r="B10" s="2" t="s">
        <v>135</v>
      </c>
      <c r="D10" s="2" t="s">
        <v>136</v>
      </c>
      <c r="E10" s="2"/>
      <c r="F10" s="2"/>
      <c r="G10" s="2"/>
      <c r="H10" s="2"/>
      <c r="I10" s="2"/>
      <c r="J10" s="2"/>
      <c r="K10" s="2"/>
      <c r="L10" s="2"/>
      <c r="M10" s="2"/>
      <c r="N10" s="2"/>
      <c r="O10" s="2"/>
      <c r="P10" s="2"/>
      <c r="Q10" s="2"/>
      <c r="R10" s="2"/>
      <c r="S10" s="2"/>
      <c r="T10" s="2"/>
    </row>
    <row r="12" spans="1:20" ht="21.95" customHeight="1" x14ac:dyDescent="0.25">
      <c r="A12" s="6"/>
      <c r="B12" s="6" t="s">
        <v>137</v>
      </c>
      <c r="C12" s="6"/>
      <c r="D12" s="6"/>
      <c r="E12" s="6"/>
      <c r="F12" s="6"/>
      <c r="G12" s="6"/>
      <c r="H12" s="6"/>
      <c r="I12" s="6"/>
      <c r="J12" s="6"/>
      <c r="K12" s="6"/>
      <c r="L12" s="6"/>
      <c r="M12" s="6"/>
      <c r="N12" s="6"/>
      <c r="O12" s="6"/>
      <c r="P12" s="6"/>
      <c r="Q12" s="6"/>
      <c r="R12" s="6"/>
      <c r="S12" s="6"/>
      <c r="T12" s="6"/>
    </row>
    <row r="13" spans="1:20" ht="21" customHeight="1" x14ac:dyDescent="0.25">
      <c r="A13" s="5"/>
      <c r="B13" s="5"/>
      <c r="C13" s="5"/>
      <c r="D13" s="5" t="s">
        <v>138</v>
      </c>
      <c r="E13" s="9" t="s">
        <v>139</v>
      </c>
      <c r="F13" s="9"/>
      <c r="G13" s="9"/>
      <c r="H13" s="9"/>
      <c r="I13" s="9"/>
      <c r="J13" s="9"/>
      <c r="K13" s="9"/>
      <c r="L13" s="9"/>
      <c r="M13" s="9"/>
      <c r="N13" s="9" t="s">
        <v>139</v>
      </c>
      <c r="O13" s="9"/>
      <c r="P13" s="9"/>
      <c r="Q13" s="9"/>
      <c r="R13" s="9"/>
      <c r="S13" s="9"/>
      <c r="T13" s="9" t="s">
        <v>139</v>
      </c>
    </row>
    <row r="14" spans="1:20" ht="21" customHeight="1" x14ac:dyDescent="0.25">
      <c r="A14" s="5"/>
      <c r="B14" s="5"/>
      <c r="C14" s="5"/>
      <c r="D14" s="5" t="s">
        <v>140</v>
      </c>
      <c r="E14" s="9"/>
      <c r="F14" s="9" t="s">
        <v>139</v>
      </c>
      <c r="G14" s="9"/>
      <c r="H14" s="9"/>
      <c r="I14" s="9"/>
      <c r="J14" s="9"/>
      <c r="K14" s="9"/>
      <c r="L14" s="9"/>
      <c r="M14" s="9"/>
      <c r="N14" s="9"/>
      <c r="O14" s="9"/>
      <c r="P14" s="9"/>
      <c r="Q14" s="9"/>
      <c r="R14" s="9"/>
      <c r="S14" s="9"/>
      <c r="T14" s="9"/>
    </row>
    <row r="15" spans="1:20" ht="21" customHeight="1" x14ac:dyDescent="0.25">
      <c r="A15" s="5"/>
      <c r="B15" s="5"/>
      <c r="C15" s="5"/>
      <c r="D15" s="5" t="s">
        <v>141</v>
      </c>
      <c r="E15" s="9"/>
      <c r="F15" s="9"/>
      <c r="G15" s="9" t="s">
        <v>139</v>
      </c>
      <c r="H15" s="9"/>
      <c r="I15" s="9"/>
      <c r="J15" s="9"/>
      <c r="K15" s="9"/>
      <c r="L15" s="9"/>
      <c r="M15" s="9"/>
      <c r="N15" s="9"/>
      <c r="O15" s="9"/>
      <c r="P15" s="9"/>
      <c r="Q15" s="9"/>
      <c r="R15" s="9"/>
      <c r="S15" s="9"/>
      <c r="T15" s="9"/>
    </row>
    <row r="16" spans="1:20" ht="21" customHeight="1" x14ac:dyDescent="0.25">
      <c r="A16" s="5"/>
      <c r="B16" s="5"/>
      <c r="C16" s="5"/>
      <c r="D16" s="5" t="s">
        <v>142</v>
      </c>
      <c r="E16" s="9"/>
      <c r="F16" s="9"/>
      <c r="G16" s="9"/>
      <c r="H16" s="9" t="s">
        <v>139</v>
      </c>
      <c r="I16" s="9"/>
      <c r="J16" s="9"/>
      <c r="K16" s="9"/>
      <c r="L16" s="9"/>
      <c r="M16" s="9"/>
      <c r="N16" s="9"/>
      <c r="O16" s="9"/>
      <c r="P16" s="9"/>
      <c r="Q16" s="9"/>
      <c r="R16" s="9"/>
      <c r="S16" s="9"/>
      <c r="T16" s="9"/>
    </row>
    <row r="17" spans="1:20" ht="21" customHeight="1" x14ac:dyDescent="0.25">
      <c r="A17" s="5"/>
      <c r="B17" s="5"/>
      <c r="C17" s="5"/>
      <c r="D17" s="5" t="s">
        <v>143</v>
      </c>
      <c r="E17" s="9"/>
      <c r="F17" s="9"/>
      <c r="G17" s="9"/>
      <c r="H17" s="9"/>
      <c r="I17" s="9" t="s">
        <v>139</v>
      </c>
      <c r="J17" s="9"/>
      <c r="K17" s="9"/>
      <c r="L17" s="9"/>
      <c r="M17" s="9"/>
      <c r="N17" s="9"/>
      <c r="O17" s="9"/>
      <c r="P17" s="9"/>
      <c r="Q17" s="9"/>
      <c r="R17" s="9"/>
      <c r="S17" s="9"/>
      <c r="T17" s="9"/>
    </row>
    <row r="18" spans="1:20" ht="21" customHeight="1" x14ac:dyDescent="0.25">
      <c r="A18" s="5"/>
      <c r="B18" s="5"/>
      <c r="C18" s="5"/>
      <c r="D18" s="5" t="s">
        <v>144</v>
      </c>
      <c r="E18" s="9"/>
      <c r="F18" s="9"/>
      <c r="G18" s="9"/>
      <c r="H18" s="9"/>
      <c r="I18" s="9"/>
      <c r="J18" s="9" t="s">
        <v>139</v>
      </c>
      <c r="K18" s="9"/>
      <c r="L18" s="9"/>
      <c r="M18" s="9"/>
      <c r="N18" s="9"/>
      <c r="O18" s="9"/>
      <c r="P18" s="9"/>
      <c r="Q18" s="9"/>
      <c r="R18" s="9"/>
      <c r="S18" s="9"/>
      <c r="T18" s="9"/>
    </row>
    <row r="19" spans="1:20" ht="21" customHeight="1" x14ac:dyDescent="0.25">
      <c r="A19" s="5"/>
      <c r="B19" s="5"/>
      <c r="C19" s="5"/>
      <c r="D19" s="5" t="s">
        <v>145</v>
      </c>
      <c r="E19" s="9"/>
      <c r="F19" s="9"/>
      <c r="G19" s="9"/>
      <c r="H19" s="9"/>
      <c r="I19" s="9"/>
      <c r="J19" s="9"/>
      <c r="K19" s="9" t="s">
        <v>139</v>
      </c>
      <c r="L19" s="9"/>
      <c r="M19" s="9"/>
      <c r="N19" s="9"/>
      <c r="O19" s="9"/>
      <c r="P19" s="9"/>
      <c r="Q19" s="9"/>
      <c r="R19" s="9"/>
      <c r="S19" s="9"/>
      <c r="T19" s="9"/>
    </row>
    <row r="20" spans="1:20" ht="21" customHeight="1" x14ac:dyDescent="0.25">
      <c r="A20" s="5"/>
      <c r="B20" s="5"/>
      <c r="C20" s="5"/>
      <c r="D20" s="5" t="s">
        <v>146</v>
      </c>
      <c r="E20" s="9"/>
      <c r="F20" s="9"/>
      <c r="G20" s="9"/>
      <c r="H20" s="9"/>
      <c r="I20" s="9"/>
      <c r="J20" s="9"/>
      <c r="K20" s="9"/>
      <c r="L20" s="9"/>
      <c r="M20" s="9"/>
      <c r="N20" s="9"/>
      <c r="O20" s="9"/>
      <c r="P20" s="9"/>
      <c r="Q20" s="9"/>
      <c r="R20" s="9"/>
      <c r="S20" s="9" t="s">
        <v>139</v>
      </c>
      <c r="T20" s="9"/>
    </row>
    <row r="21" spans="1:20" ht="21" customHeight="1" x14ac:dyDescent="0.25">
      <c r="A21" s="5"/>
      <c r="B21" s="5"/>
      <c r="C21" s="5"/>
      <c r="D21" s="5" t="s">
        <v>147</v>
      </c>
      <c r="E21" s="9"/>
      <c r="F21" s="9"/>
      <c r="G21" s="9"/>
      <c r="H21" s="9"/>
      <c r="I21" s="9"/>
      <c r="J21" s="9"/>
      <c r="K21" s="9"/>
      <c r="L21" s="9"/>
      <c r="M21" s="9"/>
      <c r="N21" s="9"/>
      <c r="O21" s="9"/>
      <c r="P21" s="9"/>
      <c r="Q21" s="9"/>
      <c r="R21" s="9"/>
      <c r="S21" s="9"/>
      <c r="T21" s="9" t="s">
        <v>139</v>
      </c>
    </row>
    <row r="22" spans="1:20" ht="21.95" customHeight="1" x14ac:dyDescent="0.25">
      <c r="A22" s="6"/>
      <c r="B22" s="6" t="s">
        <v>148</v>
      </c>
      <c r="C22" s="6"/>
      <c r="D22" s="6"/>
      <c r="E22" s="6"/>
      <c r="F22" s="6"/>
      <c r="G22" s="6"/>
      <c r="H22" s="6"/>
      <c r="I22" s="6"/>
      <c r="J22" s="6"/>
      <c r="K22" s="6"/>
      <c r="L22" s="6"/>
      <c r="M22" s="6"/>
      <c r="N22" s="6"/>
      <c r="O22" s="6"/>
      <c r="P22" s="6"/>
      <c r="Q22" s="6"/>
      <c r="R22" s="6"/>
      <c r="S22" s="6"/>
      <c r="T22" s="6"/>
    </row>
    <row r="23" spans="1:20" ht="21" customHeight="1" x14ac:dyDescent="0.25">
      <c r="A23" s="5"/>
      <c r="B23" s="5"/>
      <c r="C23" s="5"/>
      <c r="D23" s="5" t="s">
        <v>149</v>
      </c>
      <c r="E23" s="9" t="s">
        <v>139</v>
      </c>
      <c r="F23" s="9" t="s">
        <v>139</v>
      </c>
      <c r="G23" s="9" t="s">
        <v>139</v>
      </c>
      <c r="H23" s="9" t="s">
        <v>139</v>
      </c>
      <c r="I23" s="9" t="s">
        <v>139</v>
      </c>
      <c r="J23" s="9" t="s">
        <v>139</v>
      </c>
      <c r="K23" s="9" t="s">
        <v>139</v>
      </c>
      <c r="L23" s="9"/>
      <c r="M23" s="9"/>
      <c r="N23" s="9" t="s">
        <v>139</v>
      </c>
      <c r="O23" s="9" t="s">
        <v>139</v>
      </c>
      <c r="P23" s="9" t="s">
        <v>139</v>
      </c>
      <c r="Q23" s="9" t="s">
        <v>139</v>
      </c>
      <c r="R23" s="9" t="s">
        <v>139</v>
      </c>
      <c r="S23" s="9" t="s">
        <v>139</v>
      </c>
      <c r="T23" s="9" t="s">
        <v>139</v>
      </c>
    </row>
    <row r="24" spans="1:20" ht="21" customHeight="1" x14ac:dyDescent="0.25">
      <c r="A24" s="5"/>
      <c r="B24" s="5"/>
      <c r="C24" s="5"/>
      <c r="D24" s="5" t="s">
        <v>150</v>
      </c>
      <c r="E24" s="9"/>
      <c r="F24" s="9"/>
      <c r="G24" s="9"/>
      <c r="H24" s="9"/>
      <c r="I24" s="9"/>
      <c r="J24" s="9"/>
      <c r="K24" s="9"/>
      <c r="L24" s="9" t="s">
        <v>139</v>
      </c>
      <c r="M24" s="9"/>
      <c r="N24" s="9"/>
      <c r="O24" s="9"/>
      <c r="P24" s="9"/>
      <c r="Q24" s="9"/>
      <c r="R24" s="9"/>
      <c r="S24" s="9"/>
      <c r="T24" s="9"/>
    </row>
    <row r="25" spans="1:20" ht="21" customHeight="1" x14ac:dyDescent="0.25">
      <c r="A25" s="5"/>
      <c r="B25" s="5"/>
      <c r="C25" s="5"/>
      <c r="D25" s="5" t="s">
        <v>151</v>
      </c>
      <c r="E25" s="9"/>
      <c r="F25" s="9"/>
      <c r="G25" s="9"/>
      <c r="H25" s="9"/>
      <c r="I25" s="9"/>
      <c r="J25" s="9"/>
      <c r="K25" s="9"/>
      <c r="L25" s="9"/>
      <c r="M25" s="9" t="s">
        <v>139</v>
      </c>
      <c r="N25" s="9"/>
      <c r="O25" s="9"/>
      <c r="P25" s="9"/>
      <c r="Q25" s="9"/>
      <c r="R25" s="9"/>
      <c r="S25" s="9"/>
      <c r="T25" s="9"/>
    </row>
    <row r="26" spans="1:20" ht="21.95" customHeight="1" x14ac:dyDescent="0.25">
      <c r="A26" s="6"/>
      <c r="B26" s="6" t="s">
        <v>152</v>
      </c>
      <c r="C26" s="6"/>
      <c r="D26" s="6"/>
      <c r="E26" s="6"/>
      <c r="F26" s="6"/>
      <c r="G26" s="6"/>
      <c r="H26" s="6"/>
      <c r="I26" s="6"/>
      <c r="J26" s="6"/>
      <c r="K26" s="6"/>
      <c r="L26" s="6"/>
      <c r="M26" s="6"/>
      <c r="N26" s="6"/>
      <c r="O26" s="6"/>
      <c r="P26" s="6"/>
      <c r="Q26" s="6"/>
      <c r="R26" s="6"/>
      <c r="S26" s="6"/>
      <c r="T26" s="6"/>
    </row>
    <row r="27" spans="1:20" ht="21" customHeight="1" x14ac:dyDescent="0.25">
      <c r="A27" s="5"/>
      <c r="B27" s="5"/>
      <c r="C27" s="5"/>
      <c r="D27" s="5" t="s">
        <v>153</v>
      </c>
      <c r="E27" s="9" t="s">
        <v>139</v>
      </c>
      <c r="F27" s="9" t="s">
        <v>139</v>
      </c>
      <c r="G27" s="9" t="s">
        <v>139</v>
      </c>
      <c r="H27" s="9" t="s">
        <v>139</v>
      </c>
      <c r="I27" s="9" t="s">
        <v>139</v>
      </c>
      <c r="J27" s="9" t="s">
        <v>139</v>
      </c>
      <c r="K27" s="9" t="s">
        <v>139</v>
      </c>
      <c r="L27" s="9" t="s">
        <v>139</v>
      </c>
      <c r="M27" s="9" t="s">
        <v>139</v>
      </c>
      <c r="N27" s="9" t="s">
        <v>139</v>
      </c>
      <c r="O27" s="9"/>
      <c r="P27" s="9"/>
      <c r="Q27" s="9"/>
      <c r="R27" s="9"/>
      <c r="S27" s="9"/>
      <c r="T27" s="9"/>
    </row>
    <row r="28" spans="1:20" ht="21" customHeight="1" x14ac:dyDescent="0.25">
      <c r="A28" s="5"/>
      <c r="B28" s="5"/>
      <c r="C28" s="5"/>
      <c r="D28" s="5" t="s">
        <v>154</v>
      </c>
      <c r="E28" s="9"/>
      <c r="F28" s="9"/>
      <c r="G28" s="9"/>
      <c r="H28" s="9"/>
      <c r="I28" s="9"/>
      <c r="J28" s="9"/>
      <c r="K28" s="9"/>
      <c r="L28" s="9"/>
      <c r="M28" s="9"/>
      <c r="N28" s="9"/>
      <c r="O28" s="9" t="s">
        <v>139</v>
      </c>
      <c r="P28" s="9"/>
      <c r="Q28" s="9"/>
      <c r="R28" s="9"/>
      <c r="S28" s="9"/>
      <c r="T28" s="9"/>
    </row>
    <row r="29" spans="1:20" ht="21" customHeight="1" x14ac:dyDescent="0.25">
      <c r="A29" s="5"/>
      <c r="B29" s="5"/>
      <c r="C29" s="5"/>
      <c r="D29" s="5" t="s">
        <v>155</v>
      </c>
      <c r="E29" s="9"/>
      <c r="F29" s="9"/>
      <c r="G29" s="9"/>
      <c r="H29" s="9"/>
      <c r="I29" s="9"/>
      <c r="J29" s="9"/>
      <c r="K29" s="9"/>
      <c r="L29" s="9"/>
      <c r="M29" s="9"/>
      <c r="N29" s="9"/>
      <c r="O29" s="9"/>
      <c r="P29" s="9" t="s">
        <v>139</v>
      </c>
      <c r="Q29" s="9"/>
      <c r="R29" s="9"/>
      <c r="S29" s="9"/>
      <c r="T29" s="9"/>
    </row>
    <row r="30" spans="1:20" ht="21" customHeight="1" x14ac:dyDescent="0.25">
      <c r="A30" s="5"/>
      <c r="B30" s="5"/>
      <c r="C30" s="5"/>
      <c r="D30" s="5" t="s">
        <v>156</v>
      </c>
      <c r="E30" s="9"/>
      <c r="F30" s="9"/>
      <c r="G30" s="9"/>
      <c r="H30" s="9"/>
      <c r="I30" s="9"/>
      <c r="J30" s="9"/>
      <c r="K30" s="9"/>
      <c r="L30" s="9"/>
      <c r="M30" s="9"/>
      <c r="N30" s="9"/>
      <c r="O30" s="9"/>
      <c r="P30" s="9"/>
      <c r="Q30" s="9" t="s">
        <v>139</v>
      </c>
      <c r="R30" s="9"/>
      <c r="S30" s="9"/>
      <c r="T30" s="9"/>
    </row>
    <row r="31" spans="1:20" ht="21" customHeight="1" x14ac:dyDescent="0.25">
      <c r="A31" s="5"/>
      <c r="B31" s="5"/>
      <c r="C31" s="5"/>
      <c r="D31" s="5" t="s">
        <v>157</v>
      </c>
      <c r="E31" s="9"/>
      <c r="F31" s="9"/>
      <c r="G31" s="9"/>
      <c r="H31" s="9"/>
      <c r="I31" s="9"/>
      <c r="J31" s="9"/>
      <c r="K31" s="9"/>
      <c r="L31" s="9"/>
      <c r="M31" s="9"/>
      <c r="N31" s="9"/>
      <c r="O31" s="9"/>
      <c r="P31" s="9"/>
      <c r="Q31" s="9"/>
      <c r="R31" s="9" t="s">
        <v>139</v>
      </c>
      <c r="S31" s="9"/>
      <c r="T31" s="9"/>
    </row>
    <row r="32" spans="1:20" ht="21" customHeight="1" x14ac:dyDescent="0.25">
      <c r="A32" s="5"/>
      <c r="B32" s="5"/>
      <c r="C32" s="5"/>
      <c r="D32" s="5" t="s">
        <v>158</v>
      </c>
      <c r="E32" s="9"/>
      <c r="F32" s="9"/>
      <c r="G32" s="9"/>
      <c r="H32" s="9"/>
      <c r="I32" s="9"/>
      <c r="J32" s="9"/>
      <c r="K32" s="9"/>
      <c r="L32" s="9"/>
      <c r="M32" s="9"/>
      <c r="N32" s="9"/>
      <c r="O32" s="9"/>
      <c r="P32" s="9"/>
      <c r="Q32" s="9"/>
      <c r="R32" s="9"/>
      <c r="S32" s="9"/>
      <c r="T32" s="9" t="s">
        <v>139</v>
      </c>
    </row>
    <row r="34" spans="1:20" ht="24" customHeight="1" x14ac:dyDescent="0.25">
      <c r="A34" s="2" t="s">
        <v>159</v>
      </c>
      <c r="B34" s="2" t="s">
        <v>160</v>
      </c>
      <c r="C34" s="2"/>
      <c r="D34" s="2"/>
      <c r="E34" s="2"/>
      <c r="F34" s="2"/>
      <c r="G34" s="2"/>
      <c r="H34" s="2"/>
      <c r="I34" s="2"/>
      <c r="J34" s="2"/>
      <c r="K34" s="2"/>
      <c r="L34" s="2"/>
      <c r="M34" s="2"/>
      <c r="N34" s="2"/>
      <c r="O34" s="2"/>
      <c r="P34" s="2"/>
      <c r="Q34" s="2"/>
      <c r="R34" s="2"/>
      <c r="S34" s="2"/>
      <c r="T34" s="2"/>
    </row>
    <row r="35" spans="1:20" ht="21" customHeight="1" x14ac:dyDescent="0.25">
      <c r="A35" s="5"/>
      <c r="B35" s="5"/>
      <c r="C35" s="5"/>
      <c r="D35" s="5" t="s">
        <v>161</v>
      </c>
      <c r="E35" s="9" t="s">
        <v>139</v>
      </c>
      <c r="F35" s="9"/>
      <c r="G35" s="9"/>
      <c r="H35" s="9" t="s">
        <v>139</v>
      </c>
      <c r="I35" s="9"/>
      <c r="J35" s="9"/>
      <c r="K35" s="9"/>
      <c r="L35" s="9" t="s">
        <v>139</v>
      </c>
      <c r="M35" s="9"/>
      <c r="N35" s="9" t="s">
        <v>139</v>
      </c>
      <c r="O35" s="9"/>
      <c r="P35" s="9"/>
      <c r="Q35" s="9"/>
      <c r="R35" s="9"/>
      <c r="S35" s="9"/>
      <c r="T35" s="9" t="s">
        <v>139</v>
      </c>
    </row>
    <row r="36" spans="1:20" ht="21" customHeight="1" x14ac:dyDescent="0.25">
      <c r="A36" s="5"/>
      <c r="B36" s="5"/>
      <c r="C36" s="5"/>
      <c r="D36" s="5" t="s">
        <v>162</v>
      </c>
      <c r="E36" s="9"/>
      <c r="F36" s="9" t="s">
        <v>139</v>
      </c>
      <c r="G36" s="9"/>
      <c r="H36" s="9"/>
      <c r="I36" s="9"/>
      <c r="J36" s="9"/>
      <c r="K36" s="9"/>
      <c r="L36" s="9"/>
      <c r="M36" s="9"/>
      <c r="N36" s="9"/>
      <c r="O36" s="9"/>
      <c r="P36" s="9"/>
      <c r="Q36" s="9"/>
      <c r="R36" s="9"/>
      <c r="S36" s="9"/>
      <c r="T36" s="9"/>
    </row>
    <row r="37" spans="1:20" ht="21" customHeight="1" x14ac:dyDescent="0.25">
      <c r="A37" s="5"/>
      <c r="B37" s="5"/>
      <c r="C37" s="5"/>
      <c r="D37" s="5" t="s">
        <v>163</v>
      </c>
      <c r="E37" s="9"/>
      <c r="F37" s="9"/>
      <c r="G37" s="9" t="s">
        <v>139</v>
      </c>
      <c r="H37" s="9"/>
      <c r="I37" s="9"/>
      <c r="J37" s="9"/>
      <c r="K37" s="9"/>
      <c r="L37" s="9"/>
      <c r="M37" s="9"/>
      <c r="N37" s="9"/>
      <c r="O37" s="9"/>
      <c r="P37" s="9"/>
      <c r="Q37" s="9"/>
      <c r="R37" s="9"/>
      <c r="S37" s="9"/>
      <c r="T37" s="9"/>
    </row>
    <row r="38" spans="1:20" ht="21" customHeight="1" x14ac:dyDescent="0.25">
      <c r="A38" s="5"/>
      <c r="B38" s="5"/>
      <c r="C38" s="5"/>
      <c r="D38" s="5" t="s">
        <v>164</v>
      </c>
      <c r="E38" s="9"/>
      <c r="F38" s="9"/>
      <c r="G38" s="9"/>
      <c r="H38" s="9"/>
      <c r="I38" s="9" t="s">
        <v>139</v>
      </c>
      <c r="J38" s="9"/>
      <c r="K38" s="9"/>
      <c r="L38" s="9"/>
      <c r="M38" s="9"/>
      <c r="N38" s="9"/>
      <c r="O38" s="9"/>
      <c r="P38" s="9"/>
      <c r="Q38" s="9"/>
      <c r="R38" s="9"/>
      <c r="S38" s="9"/>
      <c r="T38" s="9"/>
    </row>
    <row r="39" spans="1:20" ht="21" customHeight="1" x14ac:dyDescent="0.25">
      <c r="A39" s="5"/>
      <c r="B39" s="5"/>
      <c r="C39" s="5"/>
      <c r="D39" s="5" t="s">
        <v>165</v>
      </c>
      <c r="E39" s="9"/>
      <c r="F39" s="9"/>
      <c r="G39" s="9"/>
      <c r="H39" s="9"/>
      <c r="I39" s="9"/>
      <c r="J39" s="9" t="s">
        <v>139</v>
      </c>
      <c r="K39" s="9"/>
      <c r="L39" s="9"/>
      <c r="M39" s="9"/>
      <c r="N39" s="9"/>
      <c r="O39" s="9"/>
      <c r="P39" s="9"/>
      <c r="Q39" s="9"/>
      <c r="R39" s="9"/>
      <c r="S39" s="9"/>
      <c r="T39" s="9"/>
    </row>
    <row r="40" spans="1:20" ht="21" customHeight="1" x14ac:dyDescent="0.25">
      <c r="A40" s="5"/>
      <c r="B40" s="5"/>
      <c r="C40" s="5"/>
      <c r="D40" s="5" t="s">
        <v>166</v>
      </c>
      <c r="E40" s="9"/>
      <c r="F40" s="9"/>
      <c r="G40" s="9"/>
      <c r="H40" s="9"/>
      <c r="I40" s="9"/>
      <c r="J40" s="9"/>
      <c r="K40" s="9" t="s">
        <v>139</v>
      </c>
      <c r="L40" s="9"/>
      <c r="M40" s="9"/>
      <c r="N40" s="9"/>
      <c r="O40" s="9"/>
      <c r="P40" s="9"/>
      <c r="Q40" s="9"/>
      <c r="R40" s="9"/>
      <c r="S40" s="9"/>
      <c r="T40" s="9"/>
    </row>
    <row r="41" spans="1:20" ht="21" customHeight="1" x14ac:dyDescent="0.25">
      <c r="A41" s="5"/>
      <c r="B41" s="5"/>
      <c r="C41" s="5"/>
      <c r="D41" s="5" t="s">
        <v>167</v>
      </c>
      <c r="E41" s="9"/>
      <c r="F41" s="9"/>
      <c r="G41" s="9"/>
      <c r="H41" s="9"/>
      <c r="I41" s="9"/>
      <c r="J41" s="9"/>
      <c r="K41" s="9"/>
      <c r="L41" s="9"/>
      <c r="M41" s="9" t="s">
        <v>139</v>
      </c>
      <c r="N41" s="9"/>
      <c r="O41" s="9"/>
      <c r="P41" s="9"/>
      <c r="Q41" s="9"/>
      <c r="R41" s="9"/>
      <c r="S41" s="9"/>
      <c r="T41" s="9"/>
    </row>
    <row r="42" spans="1:20" ht="21" customHeight="1" x14ac:dyDescent="0.25">
      <c r="A42" s="5"/>
      <c r="B42" s="5"/>
      <c r="C42" s="5"/>
      <c r="D42" s="5" t="s">
        <v>168</v>
      </c>
      <c r="E42" s="9"/>
      <c r="F42" s="9"/>
      <c r="G42" s="9"/>
      <c r="H42" s="9"/>
      <c r="I42" s="9"/>
      <c r="J42" s="9"/>
      <c r="K42" s="9"/>
      <c r="L42" s="9"/>
      <c r="M42" s="9"/>
      <c r="N42" s="9"/>
      <c r="O42" s="9" t="s">
        <v>139</v>
      </c>
      <c r="P42" s="9"/>
      <c r="Q42" s="9"/>
      <c r="R42" s="9"/>
      <c r="S42" s="9"/>
      <c r="T42" s="9"/>
    </row>
    <row r="43" spans="1:20" ht="21" customHeight="1" x14ac:dyDescent="0.25">
      <c r="A43" s="5"/>
      <c r="B43" s="5"/>
      <c r="C43" s="5"/>
      <c r="D43" s="5" t="s">
        <v>169</v>
      </c>
      <c r="E43" s="9"/>
      <c r="F43" s="9"/>
      <c r="G43" s="9"/>
      <c r="H43" s="9"/>
      <c r="I43" s="9"/>
      <c r="J43" s="9"/>
      <c r="K43" s="9"/>
      <c r="L43" s="9"/>
      <c r="M43" s="9"/>
      <c r="N43" s="9"/>
      <c r="O43" s="9"/>
      <c r="P43" s="9" t="s">
        <v>139</v>
      </c>
      <c r="Q43" s="9"/>
      <c r="R43" s="9"/>
      <c r="S43" s="9"/>
      <c r="T43" s="9"/>
    </row>
    <row r="44" spans="1:20" ht="21" customHeight="1" x14ac:dyDescent="0.25">
      <c r="A44" s="5"/>
      <c r="B44" s="5"/>
      <c r="C44" s="5"/>
      <c r="D44" s="5" t="s">
        <v>170</v>
      </c>
      <c r="E44" s="9"/>
      <c r="F44" s="9"/>
      <c r="G44" s="9"/>
      <c r="H44" s="9"/>
      <c r="I44" s="9"/>
      <c r="J44" s="9"/>
      <c r="K44" s="9"/>
      <c r="L44" s="9"/>
      <c r="M44" s="9"/>
      <c r="N44" s="9"/>
      <c r="O44" s="9"/>
      <c r="P44" s="9"/>
      <c r="Q44" s="9" t="s">
        <v>139</v>
      </c>
      <c r="R44" s="9"/>
      <c r="S44" s="9"/>
      <c r="T44" s="9"/>
    </row>
    <row r="45" spans="1:20" ht="21" customHeight="1" x14ac:dyDescent="0.25">
      <c r="A45" s="5"/>
      <c r="B45" s="5"/>
      <c r="C45" s="5"/>
      <c r="D45" s="5" t="s">
        <v>171</v>
      </c>
      <c r="E45" s="9"/>
      <c r="F45" s="9"/>
      <c r="G45" s="9"/>
      <c r="H45" s="9"/>
      <c r="I45" s="9"/>
      <c r="J45" s="9"/>
      <c r="K45" s="9"/>
      <c r="L45" s="9"/>
      <c r="M45" s="9"/>
      <c r="N45" s="9"/>
      <c r="O45" s="9"/>
      <c r="P45" s="9"/>
      <c r="Q45" s="9"/>
      <c r="R45" s="9" t="s">
        <v>139</v>
      </c>
      <c r="S45" s="9"/>
      <c r="T45" s="9"/>
    </row>
    <row r="46" spans="1:20" ht="21" customHeight="1" x14ac:dyDescent="0.25">
      <c r="A46" s="5"/>
      <c r="B46" s="5"/>
      <c r="C46" s="5"/>
      <c r="D46" s="5" t="s">
        <v>172</v>
      </c>
      <c r="E46" s="9"/>
      <c r="F46" s="9"/>
      <c r="G46" s="9"/>
      <c r="H46" s="9"/>
      <c r="I46" s="9"/>
      <c r="J46" s="9"/>
      <c r="K46" s="9"/>
      <c r="L46" s="9"/>
      <c r="M46" s="9"/>
      <c r="N46" s="9"/>
      <c r="O46" s="9"/>
      <c r="P46" s="9"/>
      <c r="Q46" s="9"/>
      <c r="R46" s="9"/>
      <c r="S46" s="9" t="s">
        <v>139</v>
      </c>
      <c r="T46" s="9"/>
    </row>
    <row r="48" spans="1:20" ht="23.1" customHeight="1" x14ac:dyDescent="0.25">
      <c r="A48" s="2" t="s">
        <v>173</v>
      </c>
      <c r="B48" s="2" t="s">
        <v>174</v>
      </c>
      <c r="C48" s="2"/>
      <c r="D48" s="2"/>
      <c r="E48" s="2" t="s">
        <v>99</v>
      </c>
      <c r="F48" s="2" t="s">
        <v>101</v>
      </c>
      <c r="G48" s="2" t="s">
        <v>21</v>
      </c>
      <c r="H48" s="2" t="s">
        <v>101</v>
      </c>
      <c r="I48" s="2" t="s">
        <v>101</v>
      </c>
      <c r="J48" s="2" t="s">
        <v>21</v>
      </c>
      <c r="K48" s="2" t="s">
        <v>21</v>
      </c>
      <c r="L48" s="2" t="s">
        <v>101</v>
      </c>
      <c r="M48" s="2" t="s">
        <v>101</v>
      </c>
      <c r="N48" s="2" t="s">
        <v>99</v>
      </c>
      <c r="O48" s="2" t="s">
        <v>21</v>
      </c>
      <c r="P48" s="2" t="s">
        <v>101</v>
      </c>
      <c r="Q48" s="2" t="s">
        <v>101</v>
      </c>
      <c r="R48" s="2" t="s">
        <v>21</v>
      </c>
      <c r="S48" s="2" t="s">
        <v>21</v>
      </c>
      <c r="T48" s="2" t="s">
        <v>99</v>
      </c>
    </row>
    <row r="49" spans="1:20" ht="23.1" customHeight="1" x14ac:dyDescent="0.25">
      <c r="A49" s="5"/>
      <c r="B49" s="9" t="s">
        <v>175</v>
      </c>
      <c r="C49" s="5"/>
      <c r="D49" s="5"/>
      <c r="E49" s="11" t="s">
        <v>176</v>
      </c>
      <c r="F49" s="11" t="s">
        <v>176</v>
      </c>
      <c r="G49" s="11" t="s">
        <v>176</v>
      </c>
      <c r="H49" s="11" t="s">
        <v>176</v>
      </c>
      <c r="I49" s="11" t="s">
        <v>176</v>
      </c>
      <c r="J49" s="11" t="s">
        <v>176</v>
      </c>
      <c r="K49" s="11" t="s">
        <v>176</v>
      </c>
      <c r="L49" s="11" t="s">
        <v>176</v>
      </c>
      <c r="M49" s="11" t="s">
        <v>176</v>
      </c>
      <c r="N49" s="11" t="s">
        <v>176</v>
      </c>
      <c r="O49" s="11" t="s">
        <v>176</v>
      </c>
      <c r="P49" s="11" t="s">
        <v>176</v>
      </c>
      <c r="Q49" s="11" t="s">
        <v>176</v>
      </c>
      <c r="R49" s="11" t="s">
        <v>176</v>
      </c>
      <c r="S49" s="11" t="s">
        <v>176</v>
      </c>
      <c r="T49" s="11" t="s">
        <v>176</v>
      </c>
    </row>
    <row r="50" spans="1:20" ht="21" customHeight="1" x14ac:dyDescent="0.25">
      <c r="A50" s="5"/>
      <c r="B50" s="5" t="s">
        <v>177</v>
      </c>
      <c r="C50" s="5"/>
      <c r="D50" s="5"/>
      <c r="E50" s="12" t="s">
        <v>11</v>
      </c>
      <c r="F50" s="12" t="s">
        <v>11</v>
      </c>
      <c r="G50" s="12" t="s">
        <v>11</v>
      </c>
      <c r="H50" s="12" t="s">
        <v>11</v>
      </c>
      <c r="I50" s="12" t="s">
        <v>11</v>
      </c>
      <c r="J50" s="12" t="s">
        <v>11</v>
      </c>
      <c r="K50" s="12" t="s">
        <v>11</v>
      </c>
      <c r="L50" s="12" t="s">
        <v>11</v>
      </c>
      <c r="M50" s="12" t="s">
        <v>11</v>
      </c>
      <c r="N50" s="12" t="s">
        <v>11</v>
      </c>
      <c r="O50" s="12" t="s">
        <v>11</v>
      </c>
      <c r="P50" s="12" t="s">
        <v>11</v>
      </c>
      <c r="Q50" s="12" t="s">
        <v>11</v>
      </c>
      <c r="R50" s="12" t="s">
        <v>11</v>
      </c>
      <c r="S50" s="12" t="s">
        <v>11</v>
      </c>
      <c r="T50" s="12" t="s">
        <v>11</v>
      </c>
    </row>
    <row r="51" spans="1:20" ht="21" customHeight="1" x14ac:dyDescent="0.25">
      <c r="A51" s="5"/>
      <c r="B51" s="5" t="s">
        <v>178</v>
      </c>
      <c r="C51" s="5"/>
      <c r="D51" s="5"/>
      <c r="E51" s="5"/>
      <c r="F51" s="5"/>
      <c r="G51" s="5"/>
      <c r="H51" s="5"/>
      <c r="I51" s="5"/>
      <c r="J51" s="5"/>
      <c r="K51" s="5"/>
      <c r="L51" s="5"/>
      <c r="M51" s="5"/>
      <c r="N51" s="5"/>
      <c r="O51" s="5"/>
      <c r="P51" s="5"/>
      <c r="Q51" s="5"/>
      <c r="R51" s="5"/>
      <c r="S51" s="5"/>
      <c r="T51"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40"/>
  <sheetViews>
    <sheetView tabSelected="1" workbookViewId="0"/>
  </sheetViews>
  <sheetFormatPr defaultRowHeight="15" x14ac:dyDescent="0.25"/>
  <cols>
    <col min="1" max="1" width="12" customWidth="1"/>
    <col min="2" max="2" width="24" customWidth="1"/>
    <col min="3" max="3" width="12" customWidth="1"/>
    <col min="4" max="4" width="48" customWidth="1"/>
    <col min="5" max="13" width="9.42578125" customWidth="1"/>
  </cols>
  <sheetData>
    <row r="2" spans="1:14" ht="21.95" customHeight="1" x14ac:dyDescent="0.25">
      <c r="A2" s="7" t="s">
        <v>110</v>
      </c>
      <c r="C2" s="3" t="s">
        <v>45</v>
      </c>
      <c r="E2" s="7" t="s">
        <v>32</v>
      </c>
      <c r="G2" s="3" t="s">
        <v>44</v>
      </c>
    </row>
    <row r="3" spans="1:14" ht="21.95" customHeight="1" x14ac:dyDescent="0.25">
      <c r="A3" s="7" t="s">
        <v>111</v>
      </c>
      <c r="C3" s="3" t="s">
        <v>112</v>
      </c>
      <c r="E3" s="7" t="s">
        <v>113</v>
      </c>
      <c r="G3" s="3" t="s">
        <v>114</v>
      </c>
    </row>
    <row r="4" spans="1:14" ht="21.95" customHeight="1" x14ac:dyDescent="0.25">
      <c r="A4" s="7" t="s">
        <v>115</v>
      </c>
      <c r="C4" s="3">
        <v>28</v>
      </c>
    </row>
    <row r="5" spans="1:14" ht="21.95" customHeight="1" x14ac:dyDescent="0.25">
      <c r="A5" s="7" t="s">
        <v>116</v>
      </c>
      <c r="C5" s="3" t="s">
        <v>46</v>
      </c>
    </row>
    <row r="6" spans="1:14" ht="21.95" customHeight="1" x14ac:dyDescent="0.25">
      <c r="A6" s="8" t="s">
        <v>93</v>
      </c>
      <c r="C6" s="8" t="s">
        <v>94</v>
      </c>
      <c r="E6" s="8" t="s">
        <v>95</v>
      </c>
      <c r="K6" s="8" t="s">
        <v>117</v>
      </c>
      <c r="L6" s="8"/>
      <c r="M6" s="8"/>
      <c r="N6" s="8" t="s">
        <v>102</v>
      </c>
    </row>
    <row r="7" spans="1:14" ht="24" customHeight="1" x14ac:dyDescent="0.25">
      <c r="A7" s="6">
        <f>COUNTIF(E38:M38,"P")</f>
        <v>9</v>
      </c>
      <c r="C7" s="6">
        <f>COUNTIF(E38:M38,"F")</f>
        <v>0</v>
      </c>
      <c r="E7" s="6">
        <f>SUM(N7,-A7,-C7)</f>
        <v>0</v>
      </c>
      <c r="K7" s="6">
        <f>COUNTIF(E37:M37,"N")</f>
        <v>4</v>
      </c>
      <c r="L7" s="6">
        <f>COUNTIF(E37:M37,"A")</f>
        <v>5</v>
      </c>
      <c r="M7" s="6">
        <f>COUNTIF(E37:M37,"B")</f>
        <v>0</v>
      </c>
      <c r="N7" s="6">
        <f>COUNTA(E9:M9)</f>
        <v>9</v>
      </c>
    </row>
    <row r="8" spans="1:14" ht="9.9499999999999993" customHeight="1" x14ac:dyDescent="0.25"/>
    <row r="9" spans="1:14" ht="24" customHeight="1" x14ac:dyDescent="0.25">
      <c r="E9" s="2" t="s">
        <v>118</v>
      </c>
      <c r="F9" s="2" t="s">
        <v>119</v>
      </c>
      <c r="G9" s="2" t="s">
        <v>120</v>
      </c>
      <c r="H9" s="2" t="s">
        <v>121</v>
      </c>
      <c r="I9" s="2" t="s">
        <v>122</v>
      </c>
      <c r="J9" s="2" t="s">
        <v>123</v>
      </c>
      <c r="K9" s="2" t="s">
        <v>124</v>
      </c>
      <c r="L9" s="2" t="s">
        <v>125</v>
      </c>
      <c r="M9" s="2" t="s">
        <v>126</v>
      </c>
    </row>
    <row r="10" spans="1:14" ht="21.95" customHeight="1" x14ac:dyDescent="0.25">
      <c r="A10" s="2" t="s">
        <v>134</v>
      </c>
      <c r="B10" s="2" t="s">
        <v>135</v>
      </c>
      <c r="D10" s="2" t="s">
        <v>136</v>
      </c>
      <c r="E10" s="2"/>
      <c r="F10" s="2"/>
      <c r="G10" s="2"/>
      <c r="H10" s="2"/>
      <c r="I10" s="2"/>
      <c r="J10" s="2"/>
      <c r="K10" s="2"/>
      <c r="L10" s="2"/>
      <c r="M10" s="2"/>
    </row>
    <row r="12" spans="1:14" ht="21.95" customHeight="1" x14ac:dyDescent="0.25">
      <c r="A12" s="6"/>
      <c r="B12" s="7" t="s">
        <v>179</v>
      </c>
      <c r="C12" s="6"/>
      <c r="D12" s="6"/>
      <c r="E12" s="6"/>
      <c r="F12" s="6"/>
      <c r="G12" s="6"/>
      <c r="H12" s="6"/>
      <c r="I12" s="6"/>
      <c r="J12" s="6"/>
      <c r="K12" s="6"/>
      <c r="L12" s="6"/>
      <c r="M12" s="6"/>
    </row>
    <row r="13" spans="1:14" ht="21" customHeight="1" x14ac:dyDescent="0.25">
      <c r="A13" s="3"/>
      <c r="B13" s="3"/>
      <c r="C13" s="3"/>
      <c r="D13" s="3" t="s">
        <v>180</v>
      </c>
      <c r="E13" s="9" t="s">
        <v>139</v>
      </c>
      <c r="F13" s="9" t="s">
        <v>139</v>
      </c>
      <c r="G13" s="9"/>
      <c r="H13" s="9"/>
      <c r="I13" s="9" t="s">
        <v>139</v>
      </c>
      <c r="J13" s="9" t="s">
        <v>139</v>
      </c>
      <c r="K13" s="9"/>
      <c r="L13" s="9"/>
      <c r="M13" s="9"/>
    </row>
    <row r="14" spans="1:14" ht="21" customHeight="1" x14ac:dyDescent="0.25">
      <c r="A14" s="3"/>
      <c r="B14" s="3"/>
      <c r="C14" s="3"/>
      <c r="D14" s="3" t="s">
        <v>181</v>
      </c>
      <c r="E14" s="9"/>
      <c r="F14" s="9"/>
      <c r="G14" s="9" t="s">
        <v>139</v>
      </c>
      <c r="H14" s="9"/>
      <c r="I14" s="9"/>
      <c r="J14" s="9"/>
      <c r="K14" s="9"/>
      <c r="L14" s="9"/>
      <c r="M14" s="9"/>
    </row>
    <row r="15" spans="1:14" ht="21" customHeight="1" x14ac:dyDescent="0.25">
      <c r="A15" s="3"/>
      <c r="B15" s="3"/>
      <c r="C15" s="3"/>
      <c r="D15" s="3" t="s">
        <v>182</v>
      </c>
      <c r="E15" s="9"/>
      <c r="F15" s="9"/>
      <c r="G15" s="9"/>
      <c r="H15" s="9" t="s">
        <v>139</v>
      </c>
      <c r="I15" s="9"/>
      <c r="J15" s="9"/>
      <c r="K15" s="9"/>
      <c r="L15" s="9"/>
      <c r="M15" s="9"/>
    </row>
    <row r="16" spans="1:14" ht="21" customHeight="1" x14ac:dyDescent="0.25">
      <c r="A16" s="3"/>
      <c r="B16" s="3"/>
      <c r="C16" s="3"/>
      <c r="D16" s="3" t="s">
        <v>183</v>
      </c>
      <c r="E16" s="9"/>
      <c r="F16" s="9"/>
      <c r="G16" s="9"/>
      <c r="H16" s="9"/>
      <c r="I16" s="9"/>
      <c r="J16" s="9"/>
      <c r="K16" s="9" t="s">
        <v>139</v>
      </c>
      <c r="L16" s="9"/>
      <c r="M16" s="9" t="s">
        <v>139</v>
      </c>
    </row>
    <row r="17" spans="1:13" ht="21" customHeight="1" x14ac:dyDescent="0.25">
      <c r="A17" s="3"/>
      <c r="B17" s="3"/>
      <c r="C17" s="3"/>
      <c r="D17" s="3" t="s">
        <v>184</v>
      </c>
      <c r="E17" s="9"/>
      <c r="F17" s="9"/>
      <c r="G17" s="9"/>
      <c r="H17" s="9"/>
      <c r="I17" s="9"/>
      <c r="J17" s="9"/>
      <c r="K17" s="9"/>
      <c r="L17" s="9" t="s">
        <v>139</v>
      </c>
      <c r="M17" s="9"/>
    </row>
    <row r="18" spans="1:13" ht="21.95" customHeight="1" x14ac:dyDescent="0.25">
      <c r="A18" s="6"/>
      <c r="B18" s="7" t="s">
        <v>148</v>
      </c>
      <c r="C18" s="6"/>
      <c r="D18" s="6"/>
      <c r="E18" s="6"/>
      <c r="F18" s="6"/>
      <c r="G18" s="6"/>
      <c r="H18" s="6"/>
      <c r="I18" s="6"/>
      <c r="J18" s="6"/>
      <c r="K18" s="6"/>
      <c r="L18" s="6"/>
      <c r="M18" s="6"/>
    </row>
    <row r="19" spans="1:13" ht="21" customHeight="1" x14ac:dyDescent="0.25">
      <c r="A19" s="3"/>
      <c r="B19" s="3"/>
      <c r="C19" s="3"/>
      <c r="D19" s="3" t="s">
        <v>185</v>
      </c>
      <c r="E19" s="9" t="s">
        <v>139</v>
      </c>
      <c r="F19" s="9"/>
      <c r="G19" s="9" t="s">
        <v>139</v>
      </c>
      <c r="H19" s="9" t="s">
        <v>139</v>
      </c>
      <c r="I19" s="9"/>
      <c r="J19" s="9" t="s">
        <v>139</v>
      </c>
      <c r="K19" s="9"/>
      <c r="L19" s="9"/>
      <c r="M19" s="9"/>
    </row>
    <row r="20" spans="1:13" ht="21" customHeight="1" x14ac:dyDescent="0.25">
      <c r="A20" s="3"/>
      <c r="B20" s="3"/>
      <c r="C20" s="3"/>
      <c r="D20" s="3" t="s">
        <v>186</v>
      </c>
      <c r="E20" s="9"/>
      <c r="F20" s="9" t="s">
        <v>139</v>
      </c>
      <c r="G20" s="9"/>
      <c r="H20" s="9"/>
      <c r="I20" s="9"/>
      <c r="J20" s="9"/>
      <c r="K20" s="9"/>
      <c r="L20" s="9"/>
      <c r="M20" s="9"/>
    </row>
    <row r="21" spans="1:13" ht="21" customHeight="1" x14ac:dyDescent="0.25">
      <c r="A21" s="3"/>
      <c r="B21" s="3"/>
      <c r="C21" s="3"/>
      <c r="D21" s="3" t="s">
        <v>187</v>
      </c>
      <c r="E21" s="9"/>
      <c r="F21" s="9"/>
      <c r="G21" s="9"/>
      <c r="H21" s="9"/>
      <c r="I21" s="9" t="s">
        <v>139</v>
      </c>
      <c r="J21" s="9"/>
      <c r="K21" s="9"/>
      <c r="L21" s="9"/>
      <c r="M21" s="9"/>
    </row>
    <row r="22" spans="1:13" ht="21.95" customHeight="1" x14ac:dyDescent="0.25">
      <c r="A22" s="6"/>
      <c r="B22" s="7" t="s">
        <v>188</v>
      </c>
      <c r="C22" s="6"/>
      <c r="D22" s="6"/>
      <c r="E22" s="6"/>
      <c r="F22" s="6"/>
      <c r="G22" s="6"/>
      <c r="H22" s="6"/>
      <c r="I22" s="6"/>
      <c r="J22" s="6"/>
      <c r="K22" s="6"/>
      <c r="L22" s="6"/>
      <c r="M22" s="6"/>
    </row>
    <row r="23" spans="1:13" ht="21" customHeight="1" x14ac:dyDescent="0.25">
      <c r="A23" s="3"/>
      <c r="B23" s="3"/>
      <c r="C23" s="3"/>
      <c r="D23" s="3" t="s">
        <v>189</v>
      </c>
      <c r="E23" s="9" t="s">
        <v>139</v>
      </c>
      <c r="F23" s="9" t="s">
        <v>139</v>
      </c>
      <c r="G23" s="9" t="s">
        <v>139</v>
      </c>
      <c r="H23" s="9" t="s">
        <v>139</v>
      </c>
      <c r="I23" s="9" t="s">
        <v>139</v>
      </c>
      <c r="J23" s="9"/>
      <c r="K23" s="9" t="s">
        <v>139</v>
      </c>
      <c r="L23" s="9" t="s">
        <v>139</v>
      </c>
      <c r="M23" s="9" t="s">
        <v>139</v>
      </c>
    </row>
    <row r="24" spans="1:13" ht="21" customHeight="1" x14ac:dyDescent="0.25">
      <c r="A24" s="3"/>
      <c r="B24" s="3"/>
      <c r="C24" s="3"/>
      <c r="D24" s="3" t="s">
        <v>190</v>
      </c>
      <c r="E24" s="9"/>
      <c r="F24" s="9"/>
      <c r="G24" s="9"/>
      <c r="H24" s="9"/>
      <c r="I24" s="9"/>
      <c r="J24" s="9" t="s">
        <v>139</v>
      </c>
      <c r="K24" s="9"/>
      <c r="L24" s="9"/>
      <c r="M24" s="9"/>
    </row>
    <row r="26" spans="1:13" ht="24" customHeight="1" x14ac:dyDescent="0.25">
      <c r="A26" s="2" t="s">
        <v>159</v>
      </c>
      <c r="B26" s="4" t="s">
        <v>160</v>
      </c>
      <c r="C26" s="2"/>
      <c r="D26" s="2"/>
      <c r="E26" s="2"/>
      <c r="F26" s="2"/>
      <c r="G26" s="2"/>
      <c r="H26" s="2"/>
      <c r="I26" s="2"/>
      <c r="J26" s="2"/>
      <c r="K26" s="2"/>
      <c r="L26" s="2"/>
      <c r="M26" s="2"/>
    </row>
    <row r="27" spans="1:13" ht="21" customHeight="1" x14ac:dyDescent="0.25">
      <c r="A27" s="3"/>
      <c r="B27" s="3"/>
      <c r="C27" s="3"/>
      <c r="D27" s="3" t="s">
        <v>191</v>
      </c>
      <c r="E27" s="9" t="s">
        <v>139</v>
      </c>
      <c r="F27" s="9"/>
      <c r="G27" s="9"/>
      <c r="H27" s="9"/>
      <c r="I27" s="9"/>
      <c r="J27" s="9"/>
      <c r="K27" s="9"/>
      <c r="L27" s="9"/>
      <c r="M27" s="9"/>
    </row>
    <row r="28" spans="1:13" ht="21" customHeight="1" x14ac:dyDescent="0.25">
      <c r="A28" s="3"/>
      <c r="B28" s="3"/>
      <c r="C28" s="3"/>
      <c r="D28" s="3" t="s">
        <v>192</v>
      </c>
      <c r="E28" s="9"/>
      <c r="F28" s="9" t="s">
        <v>139</v>
      </c>
      <c r="G28" s="9"/>
      <c r="H28" s="9"/>
      <c r="I28" s="9"/>
      <c r="J28" s="9"/>
      <c r="K28" s="9"/>
      <c r="L28" s="9"/>
      <c r="M28" s="9"/>
    </row>
    <row r="29" spans="1:13" ht="21" customHeight="1" x14ac:dyDescent="0.25">
      <c r="A29" s="3"/>
      <c r="B29" s="3"/>
      <c r="C29" s="3"/>
      <c r="D29" s="3" t="s">
        <v>193</v>
      </c>
      <c r="E29" s="9"/>
      <c r="F29" s="9"/>
      <c r="G29" s="9" t="s">
        <v>139</v>
      </c>
      <c r="H29" s="9"/>
      <c r="I29" s="9"/>
      <c r="J29" s="9"/>
      <c r="K29" s="9"/>
      <c r="L29" s="9"/>
      <c r="M29" s="9"/>
    </row>
    <row r="30" spans="1:13" ht="21" customHeight="1" x14ac:dyDescent="0.25">
      <c r="A30" s="3"/>
      <c r="B30" s="3"/>
      <c r="C30" s="3"/>
      <c r="D30" s="3" t="s">
        <v>194</v>
      </c>
      <c r="E30" s="9"/>
      <c r="F30" s="9"/>
      <c r="G30" s="9"/>
      <c r="H30" s="9" t="s">
        <v>139</v>
      </c>
      <c r="I30" s="9"/>
      <c r="J30" s="9"/>
      <c r="K30" s="9"/>
      <c r="L30" s="9"/>
      <c r="M30" s="9"/>
    </row>
    <row r="31" spans="1:13" ht="21" customHeight="1" x14ac:dyDescent="0.25">
      <c r="A31" s="3"/>
      <c r="B31" s="3"/>
      <c r="C31" s="3"/>
      <c r="D31" s="3" t="s">
        <v>195</v>
      </c>
      <c r="E31" s="9"/>
      <c r="F31" s="9"/>
      <c r="G31" s="9"/>
      <c r="H31" s="9"/>
      <c r="I31" s="9" t="s">
        <v>139</v>
      </c>
      <c r="J31" s="9"/>
      <c r="K31" s="9"/>
      <c r="L31" s="9"/>
      <c r="M31" s="9"/>
    </row>
    <row r="32" spans="1:13" ht="21" customHeight="1" x14ac:dyDescent="0.25">
      <c r="A32" s="3"/>
      <c r="B32" s="3"/>
      <c r="C32" s="3"/>
      <c r="D32" s="3" t="s">
        <v>196</v>
      </c>
      <c r="E32" s="9"/>
      <c r="F32" s="9"/>
      <c r="G32" s="9"/>
      <c r="H32" s="9"/>
      <c r="I32" s="9"/>
      <c r="J32" s="9" t="s">
        <v>139</v>
      </c>
      <c r="K32" s="9"/>
      <c r="L32" s="9"/>
      <c r="M32" s="9"/>
    </row>
    <row r="33" spans="1:13" ht="21" customHeight="1" x14ac:dyDescent="0.25">
      <c r="A33" s="3"/>
      <c r="B33" s="3"/>
      <c r="C33" s="3"/>
      <c r="D33" s="3" t="s">
        <v>197</v>
      </c>
      <c r="E33" s="9"/>
      <c r="F33" s="9"/>
      <c r="G33" s="9"/>
      <c r="H33" s="9"/>
      <c r="I33" s="9"/>
      <c r="J33" s="9"/>
      <c r="K33" s="9" t="s">
        <v>139</v>
      </c>
      <c r="L33" s="9"/>
      <c r="M33" s="9"/>
    </row>
    <row r="34" spans="1:13" ht="21" customHeight="1" x14ac:dyDescent="0.25">
      <c r="A34" s="3"/>
      <c r="B34" s="3"/>
      <c r="C34" s="3"/>
      <c r="D34" s="3" t="s">
        <v>198</v>
      </c>
      <c r="E34" s="9"/>
      <c r="F34" s="9"/>
      <c r="G34" s="9"/>
      <c r="H34" s="9"/>
      <c r="I34" s="9"/>
      <c r="J34" s="9"/>
      <c r="K34" s="9"/>
      <c r="L34" s="9" t="s">
        <v>139</v>
      </c>
      <c r="M34" s="9"/>
    </row>
    <row r="35" spans="1:13" ht="21" customHeight="1" x14ac:dyDescent="0.25">
      <c r="A35" s="3"/>
      <c r="B35" s="3"/>
      <c r="C35" s="3"/>
      <c r="D35" s="3" t="s">
        <v>199</v>
      </c>
      <c r="E35" s="9"/>
      <c r="F35" s="9"/>
      <c r="G35" s="9"/>
      <c r="H35" s="9"/>
      <c r="I35" s="9"/>
      <c r="J35" s="9"/>
      <c r="K35" s="9"/>
      <c r="L35" s="9"/>
      <c r="M35" s="9" t="s">
        <v>139</v>
      </c>
    </row>
    <row r="37" spans="1:13" ht="23.1" customHeight="1" x14ac:dyDescent="0.25">
      <c r="A37" s="2" t="s">
        <v>173</v>
      </c>
      <c r="B37" s="4" t="s">
        <v>174</v>
      </c>
      <c r="C37" s="4"/>
      <c r="D37" s="4"/>
      <c r="E37" s="2" t="s">
        <v>99</v>
      </c>
      <c r="F37" s="2" t="s">
        <v>21</v>
      </c>
      <c r="G37" s="2" t="s">
        <v>21</v>
      </c>
      <c r="H37" s="2" t="s">
        <v>21</v>
      </c>
      <c r="I37" s="2" t="s">
        <v>21</v>
      </c>
      <c r="J37" s="2" t="s">
        <v>21</v>
      </c>
      <c r="K37" s="2" t="s">
        <v>99</v>
      </c>
      <c r="L37" s="2" t="s">
        <v>99</v>
      </c>
      <c r="M37" s="2" t="s">
        <v>99</v>
      </c>
    </row>
    <row r="38" spans="1:13" ht="23.1" customHeight="1" x14ac:dyDescent="0.25">
      <c r="A38" s="3"/>
      <c r="B38" s="10" t="s">
        <v>175</v>
      </c>
      <c r="C38" s="3"/>
      <c r="D38" s="3"/>
      <c r="E38" s="11" t="s">
        <v>176</v>
      </c>
      <c r="F38" s="11" t="s">
        <v>176</v>
      </c>
      <c r="G38" s="11" t="s">
        <v>176</v>
      </c>
      <c r="H38" s="11" t="s">
        <v>176</v>
      </c>
      <c r="I38" s="11" t="s">
        <v>176</v>
      </c>
      <c r="J38" s="11" t="s">
        <v>176</v>
      </c>
      <c r="K38" s="11" t="s">
        <v>176</v>
      </c>
      <c r="L38" s="11" t="s">
        <v>176</v>
      </c>
      <c r="M38" s="11" t="s">
        <v>176</v>
      </c>
    </row>
    <row r="39" spans="1:13" ht="21" customHeight="1" x14ac:dyDescent="0.25">
      <c r="A39" s="3"/>
      <c r="B39" s="3" t="s">
        <v>177</v>
      </c>
      <c r="C39" s="3"/>
      <c r="D39" s="3"/>
      <c r="E39" s="12" t="s">
        <v>11</v>
      </c>
      <c r="F39" s="12" t="s">
        <v>11</v>
      </c>
      <c r="G39" s="12" t="s">
        <v>11</v>
      </c>
      <c r="H39" s="12" t="s">
        <v>11</v>
      </c>
      <c r="I39" s="12" t="s">
        <v>11</v>
      </c>
      <c r="J39" s="12" t="s">
        <v>11</v>
      </c>
      <c r="K39" s="12" t="s">
        <v>11</v>
      </c>
      <c r="L39" s="12" t="s">
        <v>11</v>
      </c>
      <c r="M39" s="12" t="s">
        <v>11</v>
      </c>
    </row>
    <row r="40" spans="1:13" ht="21" customHeight="1" x14ac:dyDescent="0.25">
      <c r="A40" s="3"/>
      <c r="B40" s="3" t="s">
        <v>178</v>
      </c>
      <c r="C40" s="3"/>
      <c r="D40" s="3"/>
      <c r="E40" s="5"/>
      <c r="F40" s="5"/>
      <c r="G40" s="5"/>
      <c r="H40" s="5"/>
      <c r="I40" s="5"/>
      <c r="J40" s="5"/>
      <c r="K40" s="5"/>
      <c r="L40" s="5"/>
      <c r="M40"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34"/>
  <sheetViews>
    <sheetView workbookViewId="0"/>
  </sheetViews>
  <sheetFormatPr defaultRowHeight="15" x14ac:dyDescent="0.25"/>
  <cols>
    <col min="1" max="1" width="12" customWidth="1"/>
    <col min="2" max="2" width="24" customWidth="1"/>
    <col min="3" max="3" width="12" customWidth="1"/>
    <col min="4" max="4" width="48" customWidth="1"/>
    <col min="5" max="14" width="9.42578125" customWidth="1"/>
  </cols>
  <sheetData>
    <row r="2" spans="1:14" ht="21.95" customHeight="1" x14ac:dyDescent="0.25">
      <c r="A2" s="7" t="s">
        <v>110</v>
      </c>
      <c r="C2" s="3" t="s">
        <v>50</v>
      </c>
      <c r="E2" s="7" t="s">
        <v>32</v>
      </c>
      <c r="G2" s="3" t="s">
        <v>49</v>
      </c>
    </row>
    <row r="3" spans="1:14" ht="21.95" customHeight="1" x14ac:dyDescent="0.25">
      <c r="A3" s="7" t="s">
        <v>111</v>
      </c>
      <c r="C3" s="3" t="s">
        <v>112</v>
      </c>
      <c r="E3" s="7" t="s">
        <v>113</v>
      </c>
      <c r="G3" s="3" t="s">
        <v>114</v>
      </c>
    </row>
    <row r="4" spans="1:14" ht="21.95" customHeight="1" x14ac:dyDescent="0.25">
      <c r="A4" s="7" t="s">
        <v>115</v>
      </c>
      <c r="C4" s="3">
        <v>20</v>
      </c>
    </row>
    <row r="5" spans="1:14" ht="21.95" customHeight="1" x14ac:dyDescent="0.25">
      <c r="A5" s="7" t="s">
        <v>116</v>
      </c>
      <c r="C5" s="3" t="s">
        <v>51</v>
      </c>
    </row>
    <row r="6" spans="1:14" ht="21.95" customHeight="1" x14ac:dyDescent="0.25">
      <c r="A6" s="8" t="s">
        <v>93</v>
      </c>
      <c r="C6" s="8" t="s">
        <v>94</v>
      </c>
      <c r="E6" s="8" t="s">
        <v>95</v>
      </c>
      <c r="K6" s="8" t="s">
        <v>117</v>
      </c>
      <c r="L6" s="8"/>
      <c r="M6" s="8"/>
      <c r="N6" s="8" t="s">
        <v>102</v>
      </c>
    </row>
    <row r="7" spans="1:14" ht="24" customHeight="1" x14ac:dyDescent="0.25">
      <c r="A7" s="6">
        <f>COUNTIF(E32:N32,"P")</f>
        <v>10</v>
      </c>
      <c r="C7" s="6">
        <f>COUNTIF(E32:N32,"F")</f>
        <v>0</v>
      </c>
      <c r="E7" s="6">
        <f>SUM(N7,-A7,-C7)</f>
        <v>0</v>
      </c>
      <c r="K7" s="6">
        <f>COUNTIF(E31:N31,"N")</f>
        <v>2</v>
      </c>
      <c r="L7" s="6">
        <f>COUNTIF(E31:N31,"A")</f>
        <v>2</v>
      </c>
      <c r="M7" s="6">
        <f>COUNTIF(E31:N31,"B")</f>
        <v>6</v>
      </c>
      <c r="N7" s="6">
        <f>COUNTA(E9:N9)</f>
        <v>10</v>
      </c>
    </row>
    <row r="8" spans="1:14" ht="9.9499999999999993" customHeight="1" x14ac:dyDescent="0.25"/>
    <row r="9" spans="1:14" ht="24" customHeight="1" x14ac:dyDescent="0.25">
      <c r="E9" s="2" t="s">
        <v>118</v>
      </c>
      <c r="F9" s="2" t="s">
        <v>119</v>
      </c>
      <c r="G9" s="2" t="s">
        <v>120</v>
      </c>
      <c r="H9" s="2" t="s">
        <v>121</v>
      </c>
      <c r="I9" s="2" t="s">
        <v>122</v>
      </c>
      <c r="J9" s="2" t="s">
        <v>123</v>
      </c>
      <c r="K9" s="2" t="s">
        <v>124</v>
      </c>
      <c r="L9" s="2" t="s">
        <v>125</v>
      </c>
      <c r="M9" s="2" t="s">
        <v>126</v>
      </c>
      <c r="N9" s="2" t="s">
        <v>127</v>
      </c>
    </row>
    <row r="10" spans="1:14" ht="21.95" customHeight="1" x14ac:dyDescent="0.25">
      <c r="A10" s="2" t="s">
        <v>134</v>
      </c>
      <c r="B10" s="2" t="s">
        <v>135</v>
      </c>
      <c r="D10" s="2" t="s">
        <v>136</v>
      </c>
      <c r="E10" s="2"/>
      <c r="F10" s="2"/>
      <c r="G10" s="2"/>
      <c r="H10" s="2"/>
      <c r="I10" s="2"/>
      <c r="J10" s="2"/>
      <c r="K10" s="2"/>
      <c r="L10" s="2"/>
      <c r="M10" s="2"/>
      <c r="N10" s="2"/>
    </row>
    <row r="12" spans="1:14" ht="21.95" customHeight="1" x14ac:dyDescent="0.25">
      <c r="A12" s="6"/>
      <c r="B12" s="7" t="s">
        <v>200</v>
      </c>
      <c r="C12" s="6"/>
      <c r="D12" s="6"/>
      <c r="E12" s="6"/>
      <c r="F12" s="6"/>
      <c r="G12" s="6"/>
      <c r="H12" s="6"/>
      <c r="I12" s="6"/>
      <c r="J12" s="6"/>
      <c r="K12" s="6"/>
      <c r="L12" s="6"/>
      <c r="M12" s="6"/>
      <c r="N12" s="6"/>
    </row>
    <row r="13" spans="1:14" ht="21" customHeight="1" x14ac:dyDescent="0.25">
      <c r="A13" s="3"/>
      <c r="B13" s="3"/>
      <c r="C13" s="3"/>
      <c r="D13" s="3" t="s">
        <v>201</v>
      </c>
      <c r="E13" s="9" t="s">
        <v>139</v>
      </c>
      <c r="F13" s="9"/>
      <c r="G13" s="9"/>
      <c r="H13" s="9"/>
      <c r="I13" s="9"/>
      <c r="J13" s="9"/>
      <c r="K13" s="9"/>
      <c r="L13" s="9"/>
      <c r="M13" s="9"/>
      <c r="N13" s="9"/>
    </row>
    <row r="14" spans="1:14" ht="21" customHeight="1" x14ac:dyDescent="0.25">
      <c r="A14" s="3"/>
      <c r="B14" s="3"/>
      <c r="C14" s="3"/>
      <c r="D14" s="3" t="s">
        <v>202</v>
      </c>
      <c r="E14" s="9"/>
      <c r="F14" s="9" t="s">
        <v>139</v>
      </c>
      <c r="G14" s="9"/>
      <c r="H14" s="9"/>
      <c r="I14" s="9"/>
      <c r="J14" s="9"/>
      <c r="K14" s="9"/>
      <c r="L14" s="9"/>
      <c r="M14" s="9"/>
      <c r="N14" s="9"/>
    </row>
    <row r="15" spans="1:14" ht="21" customHeight="1" x14ac:dyDescent="0.25">
      <c r="A15" s="3"/>
      <c r="B15" s="3"/>
      <c r="C15" s="3"/>
      <c r="D15" s="3" t="s">
        <v>203</v>
      </c>
      <c r="E15" s="9"/>
      <c r="F15" s="9"/>
      <c r="G15" s="9" t="s">
        <v>139</v>
      </c>
      <c r="H15" s="9"/>
      <c r="I15" s="9"/>
      <c r="J15" s="9"/>
      <c r="K15" s="9"/>
      <c r="L15" s="9"/>
      <c r="M15" s="9"/>
      <c r="N15" s="9"/>
    </row>
    <row r="16" spans="1:14" ht="21" customHeight="1" x14ac:dyDescent="0.25">
      <c r="A16" s="3"/>
      <c r="B16" s="3"/>
      <c r="C16" s="3"/>
      <c r="D16" s="3" t="s">
        <v>204</v>
      </c>
      <c r="E16" s="9"/>
      <c r="F16" s="9"/>
      <c r="G16" s="9"/>
      <c r="H16" s="9" t="s">
        <v>139</v>
      </c>
      <c r="I16" s="9"/>
      <c r="J16" s="9"/>
      <c r="K16" s="9"/>
      <c r="L16" s="9"/>
      <c r="M16" s="9"/>
      <c r="N16" s="9"/>
    </row>
    <row r="17" spans="1:14" ht="21" customHeight="1" x14ac:dyDescent="0.25">
      <c r="A17" s="3"/>
      <c r="B17" s="3"/>
      <c r="C17" s="3"/>
      <c r="D17" s="3" t="s">
        <v>205</v>
      </c>
      <c r="E17" s="9"/>
      <c r="F17" s="9"/>
      <c r="G17" s="9"/>
      <c r="H17" s="9"/>
      <c r="I17" s="9" t="s">
        <v>139</v>
      </c>
      <c r="J17" s="9"/>
      <c r="K17" s="9"/>
      <c r="L17" s="9"/>
      <c r="M17" s="9"/>
      <c r="N17" s="9"/>
    </row>
    <row r="18" spans="1:14" ht="21" customHeight="1" x14ac:dyDescent="0.25">
      <c r="A18" s="3"/>
      <c r="B18" s="3"/>
      <c r="C18" s="3"/>
      <c r="D18" s="3" t="s">
        <v>206</v>
      </c>
      <c r="E18" s="9"/>
      <c r="F18" s="9"/>
      <c r="G18" s="9"/>
      <c r="H18" s="9"/>
      <c r="I18" s="9"/>
      <c r="J18" s="9" t="s">
        <v>139</v>
      </c>
      <c r="K18" s="9"/>
      <c r="L18" s="9"/>
      <c r="M18" s="9"/>
      <c r="N18" s="9"/>
    </row>
    <row r="19" spans="1:14" ht="21" customHeight="1" x14ac:dyDescent="0.25">
      <c r="A19" s="3"/>
      <c r="B19" s="3"/>
      <c r="C19" s="3"/>
      <c r="D19" s="3" t="s">
        <v>207</v>
      </c>
      <c r="E19" s="9"/>
      <c r="F19" s="9"/>
      <c r="G19" s="9"/>
      <c r="H19" s="9"/>
      <c r="I19" s="9"/>
      <c r="J19" s="9"/>
      <c r="K19" s="9" t="s">
        <v>139</v>
      </c>
      <c r="L19" s="9"/>
      <c r="M19" s="9"/>
      <c r="N19" s="9"/>
    </row>
    <row r="20" spans="1:14" ht="21" customHeight="1" x14ac:dyDescent="0.25">
      <c r="A20" s="3"/>
      <c r="B20" s="3"/>
      <c r="C20" s="3"/>
      <c r="D20" s="3" t="s">
        <v>208</v>
      </c>
      <c r="E20" s="9"/>
      <c r="F20" s="9"/>
      <c r="G20" s="9"/>
      <c r="H20" s="9"/>
      <c r="I20" s="9"/>
      <c r="J20" s="9"/>
      <c r="K20" s="9"/>
      <c r="L20" s="9" t="s">
        <v>139</v>
      </c>
      <c r="M20" s="9"/>
      <c r="N20" s="9"/>
    </row>
    <row r="21" spans="1:14" ht="21" customHeight="1" x14ac:dyDescent="0.25">
      <c r="A21" s="3"/>
      <c r="B21" s="3"/>
      <c r="C21" s="3"/>
      <c r="D21" s="3" t="s">
        <v>209</v>
      </c>
      <c r="E21" s="9"/>
      <c r="F21" s="9"/>
      <c r="G21" s="9"/>
      <c r="H21" s="9"/>
      <c r="I21" s="9"/>
      <c r="J21" s="9"/>
      <c r="K21" s="9"/>
      <c r="L21" s="9"/>
      <c r="M21" s="9" t="s">
        <v>139</v>
      </c>
      <c r="N21" s="9"/>
    </row>
    <row r="22" spans="1:14" ht="21" customHeight="1" x14ac:dyDescent="0.25">
      <c r="A22" s="3"/>
      <c r="B22" s="3"/>
      <c r="C22" s="3"/>
      <c r="D22" s="3" t="s">
        <v>210</v>
      </c>
      <c r="E22" s="9"/>
      <c r="F22" s="9"/>
      <c r="G22" s="9"/>
      <c r="H22" s="9"/>
      <c r="I22" s="9"/>
      <c r="J22" s="9"/>
      <c r="K22" s="9"/>
      <c r="L22" s="9"/>
      <c r="M22" s="9"/>
      <c r="N22" s="9" t="s">
        <v>139</v>
      </c>
    </row>
    <row r="24" spans="1:14" ht="24" customHeight="1" x14ac:dyDescent="0.25">
      <c r="A24" s="2" t="s">
        <v>159</v>
      </c>
      <c r="B24" s="4" t="s">
        <v>160</v>
      </c>
      <c r="C24" s="2"/>
      <c r="D24" s="2"/>
      <c r="E24" s="2"/>
      <c r="F24" s="2"/>
      <c r="G24" s="2"/>
      <c r="H24" s="2"/>
      <c r="I24" s="2"/>
      <c r="J24" s="2"/>
      <c r="K24" s="2"/>
      <c r="L24" s="2"/>
      <c r="M24" s="2"/>
      <c r="N24" s="2"/>
    </row>
    <row r="25" spans="1:14" ht="21" customHeight="1" x14ac:dyDescent="0.25">
      <c r="A25" s="3"/>
      <c r="B25" s="3"/>
      <c r="C25" s="3"/>
      <c r="D25" s="3" t="s">
        <v>211</v>
      </c>
      <c r="E25" s="9"/>
      <c r="F25" s="9" t="s">
        <v>139</v>
      </c>
      <c r="G25" s="9" t="s">
        <v>139</v>
      </c>
      <c r="H25" s="9" t="s">
        <v>139</v>
      </c>
      <c r="I25" s="9" t="s">
        <v>139</v>
      </c>
      <c r="J25" s="9" t="s">
        <v>139</v>
      </c>
      <c r="K25" s="9" t="s">
        <v>139</v>
      </c>
      <c r="L25" s="9"/>
      <c r="M25" s="9"/>
      <c r="N25" s="9"/>
    </row>
    <row r="26" spans="1:14" ht="21" customHeight="1" x14ac:dyDescent="0.25">
      <c r="A26" s="3"/>
      <c r="B26" s="3"/>
      <c r="C26" s="3"/>
      <c r="D26" s="3" t="s">
        <v>212</v>
      </c>
      <c r="E26" s="9" t="s">
        <v>139</v>
      </c>
      <c r="F26" s="9"/>
      <c r="G26" s="9"/>
      <c r="H26" s="9"/>
      <c r="I26" s="9"/>
      <c r="J26" s="9"/>
      <c r="K26" s="9"/>
      <c r="L26" s="9"/>
      <c r="M26" s="9"/>
      <c r="N26" s="9"/>
    </row>
    <row r="27" spans="1:14" ht="21" customHeight="1" x14ac:dyDescent="0.25">
      <c r="A27" s="3"/>
      <c r="B27" s="3"/>
      <c r="C27" s="3"/>
      <c r="D27" s="3" t="s">
        <v>213</v>
      </c>
      <c r="E27" s="9"/>
      <c r="F27" s="9"/>
      <c r="G27" s="9"/>
      <c r="H27" s="9"/>
      <c r="I27" s="9"/>
      <c r="J27" s="9"/>
      <c r="K27" s="9"/>
      <c r="L27" s="9" t="s">
        <v>139</v>
      </c>
      <c r="M27" s="9"/>
      <c r="N27" s="9"/>
    </row>
    <row r="28" spans="1:14" ht="21" customHeight="1" x14ac:dyDescent="0.25">
      <c r="A28" s="3"/>
      <c r="B28" s="3"/>
      <c r="C28" s="3"/>
      <c r="D28" s="3" t="s">
        <v>214</v>
      </c>
      <c r="E28" s="9"/>
      <c r="F28" s="9"/>
      <c r="G28" s="9"/>
      <c r="H28" s="9"/>
      <c r="I28" s="9"/>
      <c r="J28" s="9"/>
      <c r="K28" s="9"/>
      <c r="L28" s="9"/>
      <c r="M28" s="9" t="s">
        <v>139</v>
      </c>
      <c r="N28" s="9"/>
    </row>
    <row r="29" spans="1:14" ht="21" customHeight="1" x14ac:dyDescent="0.25">
      <c r="A29" s="3"/>
      <c r="B29" s="3"/>
      <c r="C29" s="3"/>
      <c r="D29" s="3" t="s">
        <v>215</v>
      </c>
      <c r="E29" s="9"/>
      <c r="F29" s="9"/>
      <c r="G29" s="9"/>
      <c r="H29" s="9"/>
      <c r="I29" s="9"/>
      <c r="J29" s="9"/>
      <c r="K29" s="9"/>
      <c r="L29" s="9"/>
      <c r="M29" s="9"/>
      <c r="N29" s="9" t="s">
        <v>139</v>
      </c>
    </row>
    <row r="31" spans="1:14" ht="23.1" customHeight="1" x14ac:dyDescent="0.25">
      <c r="A31" s="2" t="s">
        <v>173</v>
      </c>
      <c r="B31" s="4" t="s">
        <v>174</v>
      </c>
      <c r="C31" s="4"/>
      <c r="D31" s="4"/>
      <c r="E31" s="2" t="s">
        <v>101</v>
      </c>
      <c r="F31" s="2" t="s">
        <v>101</v>
      </c>
      <c r="G31" s="2" t="s">
        <v>101</v>
      </c>
      <c r="H31" s="2" t="s">
        <v>99</v>
      </c>
      <c r="I31" s="2" t="s">
        <v>99</v>
      </c>
      <c r="J31" s="2" t="s">
        <v>101</v>
      </c>
      <c r="K31" s="2" t="s">
        <v>101</v>
      </c>
      <c r="L31" s="2" t="s">
        <v>101</v>
      </c>
      <c r="M31" s="2" t="s">
        <v>21</v>
      </c>
      <c r="N31" s="2" t="s">
        <v>21</v>
      </c>
    </row>
    <row r="32" spans="1:14" ht="23.1" customHeight="1" x14ac:dyDescent="0.25">
      <c r="A32" s="3"/>
      <c r="B32" s="10" t="s">
        <v>175</v>
      </c>
      <c r="C32" s="3"/>
      <c r="D32" s="3"/>
      <c r="E32" s="11" t="s">
        <v>176</v>
      </c>
      <c r="F32" s="11" t="s">
        <v>176</v>
      </c>
      <c r="G32" s="11" t="s">
        <v>176</v>
      </c>
      <c r="H32" s="11" t="s">
        <v>176</v>
      </c>
      <c r="I32" s="11" t="s">
        <v>176</v>
      </c>
      <c r="J32" s="11" t="s">
        <v>176</v>
      </c>
      <c r="K32" s="11" t="s">
        <v>176</v>
      </c>
      <c r="L32" s="11" t="s">
        <v>176</v>
      </c>
      <c r="M32" s="11" t="s">
        <v>176</v>
      </c>
      <c r="N32" s="11" t="s">
        <v>176</v>
      </c>
    </row>
    <row r="33" spans="1:14" ht="21" customHeight="1" x14ac:dyDescent="0.25">
      <c r="A33" s="3"/>
      <c r="B33" s="3" t="s">
        <v>177</v>
      </c>
      <c r="C33" s="3"/>
      <c r="D33" s="3"/>
      <c r="E33" s="12" t="s">
        <v>11</v>
      </c>
      <c r="F33" s="12" t="s">
        <v>11</v>
      </c>
      <c r="G33" s="12" t="s">
        <v>11</v>
      </c>
      <c r="H33" s="12" t="s">
        <v>11</v>
      </c>
      <c r="I33" s="12" t="s">
        <v>11</v>
      </c>
      <c r="J33" s="12" t="s">
        <v>11</v>
      </c>
      <c r="K33" s="12" t="s">
        <v>11</v>
      </c>
      <c r="L33" s="12" t="s">
        <v>11</v>
      </c>
      <c r="M33" s="12" t="s">
        <v>11</v>
      </c>
      <c r="N33" s="12" t="s">
        <v>11</v>
      </c>
    </row>
    <row r="34" spans="1:14" ht="21" customHeight="1" x14ac:dyDescent="0.25">
      <c r="A34" s="3"/>
      <c r="B34" s="3" t="s">
        <v>178</v>
      </c>
      <c r="C34" s="3"/>
      <c r="D34" s="3"/>
      <c r="E34" s="5"/>
      <c r="F34" s="5"/>
      <c r="G34" s="5"/>
      <c r="H34" s="5"/>
      <c r="I34" s="5"/>
      <c r="J34" s="5"/>
      <c r="K34" s="5"/>
      <c r="L34" s="5"/>
      <c r="M34" s="5"/>
      <c r="N34"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44"/>
  <sheetViews>
    <sheetView workbookViewId="0"/>
  </sheetViews>
  <sheetFormatPr defaultRowHeight="15" x14ac:dyDescent="0.25"/>
  <cols>
    <col min="1" max="1" width="12" customWidth="1"/>
    <col min="2" max="2" width="24" customWidth="1"/>
    <col min="3" max="3" width="12" customWidth="1"/>
    <col min="4" max="4" width="48" customWidth="1"/>
    <col min="5" max="18" width="9.42578125" customWidth="1"/>
  </cols>
  <sheetData>
    <row r="2" spans="1:18" ht="21.95" customHeight="1" x14ac:dyDescent="0.25">
      <c r="A2" s="7" t="s">
        <v>110</v>
      </c>
      <c r="C2" s="3" t="s">
        <v>55</v>
      </c>
      <c r="E2" s="7" t="s">
        <v>32</v>
      </c>
      <c r="G2" s="3" t="s">
        <v>54</v>
      </c>
    </row>
    <row r="3" spans="1:18" ht="21.95" customHeight="1" x14ac:dyDescent="0.25">
      <c r="A3" s="7" t="s">
        <v>111</v>
      </c>
      <c r="C3" s="3" t="s">
        <v>112</v>
      </c>
      <c r="E3" s="7" t="s">
        <v>113</v>
      </c>
      <c r="G3" s="3" t="s">
        <v>114</v>
      </c>
    </row>
    <row r="4" spans="1:18" ht="21.95" customHeight="1" x14ac:dyDescent="0.25">
      <c r="A4" s="7" t="s">
        <v>115</v>
      </c>
      <c r="C4" s="3">
        <v>42</v>
      </c>
    </row>
    <row r="5" spans="1:18" ht="21.95" customHeight="1" x14ac:dyDescent="0.25">
      <c r="A5" s="7" t="s">
        <v>116</v>
      </c>
      <c r="C5" s="3" t="s">
        <v>56</v>
      </c>
    </row>
    <row r="6" spans="1:18" ht="21.95" customHeight="1" x14ac:dyDescent="0.25">
      <c r="A6" s="8" t="s">
        <v>93</v>
      </c>
      <c r="C6" s="8" t="s">
        <v>94</v>
      </c>
      <c r="E6" s="8" t="s">
        <v>95</v>
      </c>
      <c r="K6" s="8" t="s">
        <v>117</v>
      </c>
      <c r="L6" s="8"/>
      <c r="M6" s="8"/>
      <c r="N6" s="8" t="s">
        <v>102</v>
      </c>
    </row>
    <row r="7" spans="1:18" ht="24" customHeight="1" x14ac:dyDescent="0.25">
      <c r="A7" s="6">
        <f>COUNTIF(E42:R42,"P")</f>
        <v>14</v>
      </c>
      <c r="C7" s="6">
        <f>COUNTIF(E42:R42,"F")</f>
        <v>0</v>
      </c>
      <c r="E7" s="6">
        <f>SUM(N7,-A7,-C7)</f>
        <v>0</v>
      </c>
      <c r="K7" s="6">
        <f>COUNTIF(E41:R41,"N")</f>
        <v>6</v>
      </c>
      <c r="L7" s="6">
        <f>COUNTIF(E41:R41,"A")</f>
        <v>4</v>
      </c>
      <c r="M7" s="6">
        <f>COUNTIF(E41:R41,"B")</f>
        <v>4</v>
      </c>
      <c r="N7" s="6">
        <f>COUNTA(E9:R9)</f>
        <v>14</v>
      </c>
    </row>
    <row r="8" spans="1:18" ht="9.9499999999999993" customHeight="1" x14ac:dyDescent="0.25"/>
    <row r="9" spans="1:18" ht="24" customHeight="1" x14ac:dyDescent="0.25">
      <c r="E9" s="2" t="s">
        <v>118</v>
      </c>
      <c r="F9" s="2" t="s">
        <v>119</v>
      </c>
      <c r="G9" s="2" t="s">
        <v>120</v>
      </c>
      <c r="H9" s="2" t="s">
        <v>121</v>
      </c>
      <c r="I9" s="2" t="s">
        <v>122</v>
      </c>
      <c r="J9" s="2" t="s">
        <v>123</v>
      </c>
      <c r="K9" s="2" t="s">
        <v>124</v>
      </c>
      <c r="L9" s="2" t="s">
        <v>125</v>
      </c>
      <c r="M9" s="2" t="s">
        <v>126</v>
      </c>
      <c r="N9" s="2" t="s">
        <v>127</v>
      </c>
      <c r="O9" s="2" t="s">
        <v>128</v>
      </c>
      <c r="P9" s="2" t="s">
        <v>129</v>
      </c>
      <c r="Q9" s="2" t="s">
        <v>130</v>
      </c>
      <c r="R9" s="2" t="s">
        <v>131</v>
      </c>
    </row>
    <row r="10" spans="1:18" ht="21.95" customHeight="1" x14ac:dyDescent="0.25">
      <c r="A10" s="2" t="s">
        <v>134</v>
      </c>
      <c r="B10" s="2" t="s">
        <v>135</v>
      </c>
      <c r="D10" s="2" t="s">
        <v>136</v>
      </c>
      <c r="E10" s="2"/>
      <c r="F10" s="2"/>
      <c r="G10" s="2"/>
      <c r="H10" s="2"/>
      <c r="I10" s="2"/>
      <c r="J10" s="2"/>
      <c r="K10" s="2"/>
      <c r="L10" s="2"/>
      <c r="M10" s="2"/>
      <c r="N10" s="2"/>
      <c r="O10" s="2"/>
      <c r="P10" s="2"/>
      <c r="Q10" s="2"/>
      <c r="R10" s="2"/>
    </row>
    <row r="12" spans="1:18" ht="21.95" customHeight="1" x14ac:dyDescent="0.25">
      <c r="A12" s="6"/>
      <c r="B12" s="7" t="s">
        <v>216</v>
      </c>
      <c r="C12" s="6"/>
      <c r="D12" s="6"/>
      <c r="E12" s="6"/>
      <c r="F12" s="6"/>
      <c r="G12" s="6"/>
      <c r="H12" s="6"/>
      <c r="I12" s="6"/>
      <c r="J12" s="6"/>
      <c r="K12" s="6"/>
      <c r="L12" s="6"/>
      <c r="M12" s="6"/>
      <c r="N12" s="6"/>
      <c r="O12" s="6"/>
      <c r="P12" s="6"/>
      <c r="Q12" s="6"/>
      <c r="R12" s="6"/>
    </row>
    <row r="13" spans="1:18" ht="21" customHeight="1" x14ac:dyDescent="0.25">
      <c r="A13" s="3"/>
      <c r="B13" s="3"/>
      <c r="C13" s="3"/>
      <c r="D13" s="3" t="s">
        <v>217</v>
      </c>
      <c r="E13" s="9" t="s">
        <v>139</v>
      </c>
      <c r="F13" s="9"/>
      <c r="G13" s="9"/>
      <c r="H13" s="9"/>
      <c r="I13" s="9" t="s">
        <v>139</v>
      </c>
      <c r="J13" s="9" t="s">
        <v>139</v>
      </c>
      <c r="K13" s="9" t="s">
        <v>139</v>
      </c>
      <c r="L13" s="9" t="s">
        <v>139</v>
      </c>
      <c r="M13" s="9" t="s">
        <v>139</v>
      </c>
      <c r="N13" s="9" t="s">
        <v>139</v>
      </c>
      <c r="O13" s="9"/>
      <c r="P13" s="9"/>
      <c r="Q13" s="9"/>
      <c r="R13" s="9"/>
    </row>
    <row r="14" spans="1:18" ht="21" customHeight="1" x14ac:dyDescent="0.25">
      <c r="A14" s="3"/>
      <c r="B14" s="3"/>
      <c r="C14" s="3"/>
      <c r="D14" s="3" t="s">
        <v>218</v>
      </c>
      <c r="E14" s="9"/>
      <c r="F14" s="9" t="s">
        <v>139</v>
      </c>
      <c r="G14" s="9"/>
      <c r="H14" s="9"/>
      <c r="I14" s="9"/>
      <c r="J14" s="9"/>
      <c r="K14" s="9"/>
      <c r="L14" s="9"/>
      <c r="M14" s="9"/>
      <c r="N14" s="9"/>
      <c r="O14" s="9"/>
      <c r="P14" s="9"/>
      <c r="Q14" s="9"/>
      <c r="R14" s="9"/>
    </row>
    <row r="15" spans="1:18" ht="21" customHeight="1" x14ac:dyDescent="0.25">
      <c r="A15" s="3"/>
      <c r="B15" s="3"/>
      <c r="C15" s="3"/>
      <c r="D15" s="3" t="s">
        <v>219</v>
      </c>
      <c r="E15" s="9"/>
      <c r="F15" s="9"/>
      <c r="G15" s="9" t="s">
        <v>139</v>
      </c>
      <c r="H15" s="9"/>
      <c r="I15" s="9"/>
      <c r="J15" s="9"/>
      <c r="K15" s="9"/>
      <c r="L15" s="9"/>
      <c r="M15" s="9"/>
      <c r="N15" s="9"/>
      <c r="O15" s="9"/>
      <c r="P15" s="9"/>
      <c r="Q15" s="9"/>
      <c r="R15" s="9"/>
    </row>
    <row r="16" spans="1:18" ht="21" customHeight="1" x14ac:dyDescent="0.25">
      <c r="A16" s="3"/>
      <c r="B16" s="3"/>
      <c r="C16" s="3"/>
      <c r="D16" s="3" t="s">
        <v>220</v>
      </c>
      <c r="E16" s="9"/>
      <c r="F16" s="9"/>
      <c r="G16" s="9"/>
      <c r="H16" s="9" t="s">
        <v>139</v>
      </c>
      <c r="I16" s="9"/>
      <c r="J16" s="9"/>
      <c r="K16" s="9"/>
      <c r="L16" s="9"/>
      <c r="M16" s="9"/>
      <c r="N16" s="9"/>
      <c r="O16" s="9"/>
      <c r="P16" s="9"/>
      <c r="Q16" s="9"/>
      <c r="R16" s="9"/>
    </row>
    <row r="17" spans="1:18" ht="21" customHeight="1" x14ac:dyDescent="0.25">
      <c r="A17" s="3"/>
      <c r="B17" s="3"/>
      <c r="C17" s="3"/>
      <c r="D17" s="3" t="s">
        <v>221</v>
      </c>
      <c r="E17" s="9"/>
      <c r="F17" s="9"/>
      <c r="G17" s="9"/>
      <c r="H17" s="9"/>
      <c r="I17" s="9"/>
      <c r="J17" s="9"/>
      <c r="K17" s="9"/>
      <c r="L17" s="9"/>
      <c r="M17" s="9"/>
      <c r="N17" s="9"/>
      <c r="O17" s="9" t="s">
        <v>139</v>
      </c>
      <c r="P17" s="9" t="s">
        <v>139</v>
      </c>
      <c r="Q17" s="9" t="s">
        <v>139</v>
      </c>
      <c r="R17" s="9" t="s">
        <v>139</v>
      </c>
    </row>
    <row r="18" spans="1:18" ht="21.95" customHeight="1" x14ac:dyDescent="0.25">
      <c r="A18" s="6"/>
      <c r="B18" s="7" t="s">
        <v>222</v>
      </c>
      <c r="C18" s="6"/>
      <c r="D18" s="6"/>
      <c r="E18" s="6"/>
      <c r="F18" s="6"/>
      <c r="G18" s="6"/>
      <c r="H18" s="6"/>
      <c r="I18" s="6"/>
      <c r="J18" s="6"/>
      <c r="K18" s="6"/>
      <c r="L18" s="6"/>
      <c r="M18" s="6"/>
      <c r="N18" s="6"/>
      <c r="O18" s="6"/>
      <c r="P18" s="6"/>
      <c r="Q18" s="6"/>
      <c r="R18" s="6"/>
    </row>
    <row r="19" spans="1:18" ht="21" customHeight="1" x14ac:dyDescent="0.25">
      <c r="A19" s="3"/>
      <c r="B19" s="3"/>
      <c r="C19" s="3"/>
      <c r="D19" s="3" t="s">
        <v>223</v>
      </c>
      <c r="E19" s="9" t="s">
        <v>139</v>
      </c>
      <c r="F19" s="9"/>
      <c r="G19" s="9" t="s">
        <v>139</v>
      </c>
      <c r="H19" s="9"/>
      <c r="I19" s="9" t="s">
        <v>139</v>
      </c>
      <c r="J19" s="9"/>
      <c r="K19" s="9"/>
      <c r="L19" s="9"/>
      <c r="M19" s="9"/>
      <c r="N19" s="9"/>
      <c r="O19" s="9" t="s">
        <v>139</v>
      </c>
      <c r="P19" s="9" t="s">
        <v>139</v>
      </c>
      <c r="Q19" s="9" t="s">
        <v>139</v>
      </c>
      <c r="R19" s="9" t="s">
        <v>139</v>
      </c>
    </row>
    <row r="20" spans="1:18" ht="21" customHeight="1" x14ac:dyDescent="0.25">
      <c r="A20" s="3"/>
      <c r="B20" s="3"/>
      <c r="C20" s="3"/>
      <c r="D20" s="3" t="s">
        <v>224</v>
      </c>
      <c r="E20" s="9"/>
      <c r="F20" s="9"/>
      <c r="G20" s="9"/>
      <c r="H20" s="9"/>
      <c r="I20" s="9"/>
      <c r="J20" s="9" t="s">
        <v>139</v>
      </c>
      <c r="K20" s="9"/>
      <c r="L20" s="9"/>
      <c r="M20" s="9"/>
      <c r="N20" s="9"/>
      <c r="O20" s="9"/>
      <c r="P20" s="9"/>
      <c r="Q20" s="9"/>
      <c r="R20" s="9"/>
    </row>
    <row r="21" spans="1:18" ht="21" customHeight="1" x14ac:dyDescent="0.25">
      <c r="A21" s="3"/>
      <c r="B21" s="3"/>
      <c r="C21" s="3"/>
      <c r="D21" s="3" t="s">
        <v>225</v>
      </c>
      <c r="E21" s="9"/>
      <c r="F21" s="9"/>
      <c r="G21" s="9"/>
      <c r="H21" s="9"/>
      <c r="I21" s="9"/>
      <c r="J21" s="9"/>
      <c r="K21" s="9" t="s">
        <v>139</v>
      </c>
      <c r="L21" s="9"/>
      <c r="M21" s="9"/>
      <c r="N21" s="9"/>
      <c r="O21" s="9"/>
      <c r="P21" s="9"/>
      <c r="Q21" s="9"/>
      <c r="R21" s="9"/>
    </row>
    <row r="22" spans="1:18" ht="21" customHeight="1" x14ac:dyDescent="0.25">
      <c r="A22" s="3"/>
      <c r="B22" s="3"/>
      <c r="C22" s="3"/>
      <c r="D22" s="3" t="s">
        <v>226</v>
      </c>
      <c r="E22" s="9"/>
      <c r="F22" s="9"/>
      <c r="G22" s="9"/>
      <c r="H22" s="9"/>
      <c r="I22" s="9"/>
      <c r="J22" s="9"/>
      <c r="K22" s="9"/>
      <c r="L22" s="9" t="s">
        <v>139</v>
      </c>
      <c r="M22" s="9"/>
      <c r="N22" s="9"/>
      <c r="O22" s="9"/>
      <c r="P22" s="9"/>
      <c r="Q22" s="9"/>
      <c r="R22" s="9"/>
    </row>
    <row r="23" spans="1:18" ht="21.95" customHeight="1" x14ac:dyDescent="0.25">
      <c r="A23" s="6"/>
      <c r="B23" s="7" t="s">
        <v>227</v>
      </c>
      <c r="C23" s="6"/>
      <c r="D23" s="6"/>
      <c r="E23" s="6"/>
      <c r="F23" s="6"/>
      <c r="G23" s="6"/>
      <c r="H23" s="6"/>
      <c r="I23" s="6"/>
      <c r="J23" s="6"/>
      <c r="K23" s="6"/>
      <c r="L23" s="6"/>
      <c r="M23" s="6"/>
      <c r="N23" s="6"/>
      <c r="O23" s="6"/>
      <c r="P23" s="6"/>
      <c r="Q23" s="6"/>
      <c r="R23" s="6"/>
    </row>
    <row r="24" spans="1:18" ht="21" customHeight="1" x14ac:dyDescent="0.25">
      <c r="A24" s="3"/>
      <c r="B24" s="3"/>
      <c r="C24" s="3"/>
      <c r="D24" s="3" t="s">
        <v>228</v>
      </c>
      <c r="E24" s="9" t="s">
        <v>139</v>
      </c>
      <c r="F24" s="9" t="s">
        <v>139</v>
      </c>
      <c r="G24" s="9" t="s">
        <v>139</v>
      </c>
      <c r="H24" s="9" t="s">
        <v>139</v>
      </c>
      <c r="I24" s="9" t="s">
        <v>139</v>
      </c>
      <c r="J24" s="9" t="s">
        <v>139</v>
      </c>
      <c r="K24" s="9" t="s">
        <v>139</v>
      </c>
      <c r="L24" s="9" t="s">
        <v>139</v>
      </c>
      <c r="M24" s="9"/>
      <c r="N24" s="9"/>
      <c r="O24" s="9" t="s">
        <v>139</v>
      </c>
      <c r="P24" s="9" t="s">
        <v>139</v>
      </c>
      <c r="Q24" s="9" t="s">
        <v>139</v>
      </c>
      <c r="R24" s="9" t="s">
        <v>139</v>
      </c>
    </row>
    <row r="25" spans="1:18" ht="21" customHeight="1" x14ac:dyDescent="0.25">
      <c r="A25" s="3"/>
      <c r="B25" s="3"/>
      <c r="C25" s="3"/>
      <c r="D25" s="3" t="s">
        <v>229</v>
      </c>
      <c r="E25" s="9"/>
      <c r="F25" s="9"/>
      <c r="G25" s="9"/>
      <c r="H25" s="9"/>
      <c r="I25" s="9"/>
      <c r="J25" s="9"/>
      <c r="K25" s="9"/>
      <c r="L25" s="9"/>
      <c r="M25" s="9" t="s">
        <v>139</v>
      </c>
      <c r="N25" s="9"/>
      <c r="O25" s="9"/>
      <c r="P25" s="9"/>
      <c r="Q25" s="9"/>
      <c r="R25" s="9"/>
    </row>
    <row r="26" spans="1:18" ht="21" customHeight="1" x14ac:dyDescent="0.25">
      <c r="A26" s="3"/>
      <c r="B26" s="3"/>
      <c r="C26" s="3"/>
      <c r="D26" s="3" t="s">
        <v>230</v>
      </c>
      <c r="E26" s="9"/>
      <c r="F26" s="9"/>
      <c r="G26" s="9"/>
      <c r="H26" s="9"/>
      <c r="I26" s="9"/>
      <c r="J26" s="9"/>
      <c r="K26" s="9"/>
      <c r="L26" s="9"/>
      <c r="M26" s="9"/>
      <c r="N26" s="9" t="s">
        <v>139</v>
      </c>
      <c r="O26" s="9"/>
      <c r="P26" s="9"/>
      <c r="Q26" s="9"/>
      <c r="R26" s="9"/>
    </row>
    <row r="28" spans="1:18" ht="24" customHeight="1" x14ac:dyDescent="0.25">
      <c r="A28" s="2" t="s">
        <v>159</v>
      </c>
      <c r="B28" s="4" t="s">
        <v>160</v>
      </c>
      <c r="C28" s="2"/>
      <c r="D28" s="2"/>
      <c r="E28" s="2"/>
      <c r="F28" s="2"/>
      <c r="G28" s="2"/>
      <c r="H28" s="2"/>
      <c r="I28" s="2"/>
      <c r="J28" s="2"/>
      <c r="K28" s="2"/>
      <c r="L28" s="2"/>
      <c r="M28" s="2"/>
      <c r="N28" s="2"/>
      <c r="O28" s="2"/>
      <c r="P28" s="2"/>
      <c r="Q28" s="2"/>
      <c r="R28" s="2"/>
    </row>
    <row r="29" spans="1:18" ht="21" customHeight="1" x14ac:dyDescent="0.25">
      <c r="A29" s="3"/>
      <c r="B29" s="3"/>
      <c r="C29" s="3"/>
      <c r="D29" s="3" t="s">
        <v>231</v>
      </c>
      <c r="E29" s="9" t="s">
        <v>139</v>
      </c>
      <c r="F29" s="9"/>
      <c r="G29" s="9" t="s">
        <v>139</v>
      </c>
      <c r="H29" s="9"/>
      <c r="I29" s="9" t="s">
        <v>139</v>
      </c>
      <c r="J29" s="9" t="s">
        <v>139</v>
      </c>
      <c r="K29" s="9"/>
      <c r="L29" s="9"/>
      <c r="M29" s="9"/>
      <c r="N29" s="9"/>
      <c r="O29" s="9"/>
      <c r="P29" s="9"/>
      <c r="Q29" s="9"/>
      <c r="R29" s="9"/>
    </row>
    <row r="30" spans="1:18" ht="21" customHeight="1" x14ac:dyDescent="0.25">
      <c r="A30" s="3"/>
      <c r="B30" s="3"/>
      <c r="C30" s="3"/>
      <c r="D30" s="3" t="s">
        <v>232</v>
      </c>
      <c r="E30" s="9"/>
      <c r="F30" s="9" t="s">
        <v>139</v>
      </c>
      <c r="G30" s="9"/>
      <c r="H30" s="9"/>
      <c r="I30" s="9"/>
      <c r="J30" s="9"/>
      <c r="K30" s="9"/>
      <c r="L30" s="9"/>
      <c r="M30" s="9"/>
      <c r="N30" s="9"/>
      <c r="O30" s="9"/>
      <c r="P30" s="9"/>
      <c r="Q30" s="9"/>
      <c r="R30" s="9"/>
    </row>
    <row r="31" spans="1:18" ht="21" customHeight="1" x14ac:dyDescent="0.25">
      <c r="A31" s="3"/>
      <c r="B31" s="3"/>
      <c r="C31" s="3"/>
      <c r="D31" s="3" t="s">
        <v>233</v>
      </c>
      <c r="E31" s="9"/>
      <c r="F31" s="9"/>
      <c r="G31" s="9"/>
      <c r="H31" s="9" t="s">
        <v>139</v>
      </c>
      <c r="I31" s="9"/>
      <c r="J31" s="9"/>
      <c r="K31" s="9"/>
      <c r="L31" s="9"/>
      <c r="M31" s="9"/>
      <c r="N31" s="9"/>
      <c r="O31" s="9"/>
      <c r="P31" s="9"/>
      <c r="Q31" s="9"/>
      <c r="R31" s="9"/>
    </row>
    <row r="32" spans="1:18" ht="21" customHeight="1" x14ac:dyDescent="0.25">
      <c r="A32" s="3"/>
      <c r="B32" s="3"/>
      <c r="C32" s="3"/>
      <c r="D32" s="3" t="s">
        <v>234</v>
      </c>
      <c r="E32" s="9"/>
      <c r="F32" s="9"/>
      <c r="G32" s="9"/>
      <c r="H32" s="9"/>
      <c r="I32" s="9"/>
      <c r="J32" s="9"/>
      <c r="K32" s="9" t="s">
        <v>139</v>
      </c>
      <c r="L32" s="9"/>
      <c r="M32" s="9"/>
      <c r="N32" s="9"/>
      <c r="O32" s="9"/>
      <c r="P32" s="9"/>
      <c r="Q32" s="9"/>
      <c r="R32" s="9"/>
    </row>
    <row r="33" spans="1:18" ht="21" customHeight="1" x14ac:dyDescent="0.25">
      <c r="A33" s="3"/>
      <c r="B33" s="3"/>
      <c r="C33" s="3"/>
      <c r="D33" s="3" t="s">
        <v>235</v>
      </c>
      <c r="E33" s="9"/>
      <c r="F33" s="9"/>
      <c r="G33" s="9"/>
      <c r="H33" s="9"/>
      <c r="I33" s="9"/>
      <c r="J33" s="9"/>
      <c r="K33" s="9"/>
      <c r="L33" s="9" t="s">
        <v>139</v>
      </c>
      <c r="M33" s="9"/>
      <c r="N33" s="9"/>
      <c r="O33" s="9"/>
      <c r="P33" s="9"/>
      <c r="Q33" s="9"/>
      <c r="R33" s="9"/>
    </row>
    <row r="34" spans="1:18" ht="21" customHeight="1" x14ac:dyDescent="0.25">
      <c r="A34" s="3"/>
      <c r="B34" s="3"/>
      <c r="C34" s="3"/>
      <c r="D34" s="3" t="s">
        <v>236</v>
      </c>
      <c r="E34" s="9"/>
      <c r="F34" s="9"/>
      <c r="G34" s="9"/>
      <c r="H34" s="9"/>
      <c r="I34" s="9"/>
      <c r="J34" s="9"/>
      <c r="K34" s="9"/>
      <c r="L34" s="9"/>
      <c r="M34" s="9" t="s">
        <v>139</v>
      </c>
      <c r="N34" s="9"/>
      <c r="O34" s="9"/>
      <c r="P34" s="9"/>
      <c r="Q34" s="9"/>
      <c r="R34" s="9"/>
    </row>
    <row r="35" spans="1:18" ht="21" customHeight="1" x14ac:dyDescent="0.25">
      <c r="A35" s="3"/>
      <c r="B35" s="3"/>
      <c r="C35" s="3"/>
      <c r="D35" s="3" t="s">
        <v>237</v>
      </c>
      <c r="E35" s="9"/>
      <c r="F35" s="9"/>
      <c r="G35" s="9"/>
      <c r="H35" s="9"/>
      <c r="I35" s="9"/>
      <c r="J35" s="9"/>
      <c r="K35" s="9"/>
      <c r="L35" s="9"/>
      <c r="M35" s="9"/>
      <c r="N35" s="9" t="s">
        <v>139</v>
      </c>
      <c r="O35" s="9"/>
      <c r="P35" s="9"/>
      <c r="Q35" s="9"/>
      <c r="R35" s="9"/>
    </row>
    <row r="36" spans="1:18" ht="21" customHeight="1" x14ac:dyDescent="0.25">
      <c r="A36" s="3"/>
      <c r="B36" s="3"/>
      <c r="C36" s="3"/>
      <c r="D36" s="3" t="s">
        <v>238</v>
      </c>
      <c r="E36" s="9"/>
      <c r="F36" s="9"/>
      <c r="G36" s="9"/>
      <c r="H36" s="9"/>
      <c r="I36" s="9"/>
      <c r="J36" s="9"/>
      <c r="K36" s="9"/>
      <c r="L36" s="9"/>
      <c r="M36" s="9"/>
      <c r="N36" s="9"/>
      <c r="O36" s="9" t="s">
        <v>139</v>
      </c>
      <c r="P36" s="9"/>
      <c r="Q36" s="9"/>
      <c r="R36" s="9"/>
    </row>
    <row r="37" spans="1:18" ht="21" customHeight="1" x14ac:dyDescent="0.25">
      <c r="A37" s="3"/>
      <c r="B37" s="3"/>
      <c r="C37" s="3"/>
      <c r="D37" s="3" t="s">
        <v>239</v>
      </c>
      <c r="E37" s="9"/>
      <c r="F37" s="9"/>
      <c r="G37" s="9"/>
      <c r="H37" s="9"/>
      <c r="I37" s="9"/>
      <c r="J37" s="9"/>
      <c r="K37" s="9"/>
      <c r="L37" s="9"/>
      <c r="M37" s="9"/>
      <c r="N37" s="9"/>
      <c r="O37" s="9"/>
      <c r="P37" s="9" t="s">
        <v>139</v>
      </c>
      <c r="Q37" s="9"/>
      <c r="R37" s="9"/>
    </row>
    <row r="38" spans="1:18" ht="21" customHeight="1" x14ac:dyDescent="0.25">
      <c r="A38" s="3"/>
      <c r="B38" s="3"/>
      <c r="C38" s="3"/>
      <c r="D38" s="3" t="s">
        <v>240</v>
      </c>
      <c r="E38" s="9"/>
      <c r="F38" s="9"/>
      <c r="G38" s="9"/>
      <c r="H38" s="9"/>
      <c r="I38" s="9"/>
      <c r="J38" s="9"/>
      <c r="K38" s="9"/>
      <c r="L38" s="9"/>
      <c r="M38" s="9"/>
      <c r="N38" s="9"/>
      <c r="O38" s="9"/>
      <c r="P38" s="9"/>
      <c r="Q38" s="9" t="s">
        <v>139</v>
      </c>
      <c r="R38" s="9"/>
    </row>
    <row r="39" spans="1:18" ht="21" customHeight="1" x14ac:dyDescent="0.25">
      <c r="A39" s="3"/>
      <c r="B39" s="3"/>
      <c r="C39" s="3"/>
      <c r="D39" s="3" t="s">
        <v>241</v>
      </c>
      <c r="E39" s="9"/>
      <c r="F39" s="9"/>
      <c r="G39" s="9"/>
      <c r="H39" s="9"/>
      <c r="I39" s="9"/>
      <c r="J39" s="9"/>
      <c r="K39" s="9"/>
      <c r="L39" s="9"/>
      <c r="M39" s="9"/>
      <c r="N39" s="9"/>
      <c r="O39" s="9"/>
      <c r="P39" s="9"/>
      <c r="Q39" s="9"/>
      <c r="R39" s="9" t="s">
        <v>139</v>
      </c>
    </row>
    <row r="41" spans="1:18" ht="23.1" customHeight="1" x14ac:dyDescent="0.25">
      <c r="A41" s="2" t="s">
        <v>173</v>
      </c>
      <c r="B41" s="4" t="s">
        <v>174</v>
      </c>
      <c r="C41" s="4"/>
      <c r="D41" s="4"/>
      <c r="E41" s="2" t="s">
        <v>101</v>
      </c>
      <c r="F41" s="2" t="s">
        <v>101</v>
      </c>
      <c r="G41" s="2" t="s">
        <v>101</v>
      </c>
      <c r="H41" s="2" t="s">
        <v>101</v>
      </c>
      <c r="I41" s="2" t="s">
        <v>99</v>
      </c>
      <c r="J41" s="2" t="s">
        <v>99</v>
      </c>
      <c r="K41" s="2" t="s">
        <v>21</v>
      </c>
      <c r="L41" s="2" t="s">
        <v>21</v>
      </c>
      <c r="M41" s="2" t="s">
        <v>21</v>
      </c>
      <c r="N41" s="2" t="s">
        <v>21</v>
      </c>
      <c r="O41" s="2" t="s">
        <v>99</v>
      </c>
      <c r="P41" s="2" t="s">
        <v>99</v>
      </c>
      <c r="Q41" s="2" t="s">
        <v>99</v>
      </c>
      <c r="R41" s="2" t="s">
        <v>99</v>
      </c>
    </row>
    <row r="42" spans="1:18" ht="23.1" customHeight="1" x14ac:dyDescent="0.25">
      <c r="A42" s="3"/>
      <c r="B42" s="10" t="s">
        <v>175</v>
      </c>
      <c r="C42" s="3"/>
      <c r="D42" s="3"/>
      <c r="E42" s="11" t="s">
        <v>176</v>
      </c>
      <c r="F42" s="11" t="s">
        <v>176</v>
      </c>
      <c r="G42" s="11" t="s">
        <v>176</v>
      </c>
      <c r="H42" s="11" t="s">
        <v>176</v>
      </c>
      <c r="I42" s="11" t="s">
        <v>176</v>
      </c>
      <c r="J42" s="11" t="s">
        <v>176</v>
      </c>
      <c r="K42" s="11" t="s">
        <v>176</v>
      </c>
      <c r="L42" s="11" t="s">
        <v>176</v>
      </c>
      <c r="M42" s="11" t="s">
        <v>176</v>
      </c>
      <c r="N42" s="11" t="s">
        <v>176</v>
      </c>
      <c r="O42" s="11" t="s">
        <v>176</v>
      </c>
      <c r="P42" s="11" t="s">
        <v>176</v>
      </c>
      <c r="Q42" s="11" t="s">
        <v>176</v>
      </c>
      <c r="R42" s="11" t="s">
        <v>176</v>
      </c>
    </row>
    <row r="43" spans="1:18" ht="21" customHeight="1" x14ac:dyDescent="0.25">
      <c r="A43" s="3"/>
      <c r="B43" s="3" t="s">
        <v>177</v>
      </c>
      <c r="C43" s="3"/>
      <c r="D43" s="3"/>
      <c r="E43" s="12" t="s">
        <v>11</v>
      </c>
      <c r="F43" s="12" t="s">
        <v>11</v>
      </c>
      <c r="G43" s="12" t="s">
        <v>11</v>
      </c>
      <c r="H43" s="12" t="s">
        <v>11</v>
      </c>
      <c r="I43" s="12" t="s">
        <v>11</v>
      </c>
      <c r="J43" s="12" t="s">
        <v>11</v>
      </c>
      <c r="K43" s="12" t="s">
        <v>11</v>
      </c>
      <c r="L43" s="12" t="s">
        <v>11</v>
      </c>
      <c r="M43" s="12" t="s">
        <v>11</v>
      </c>
      <c r="N43" s="12" t="s">
        <v>11</v>
      </c>
      <c r="O43" s="12" t="s">
        <v>11</v>
      </c>
      <c r="P43" s="12" t="s">
        <v>11</v>
      </c>
      <c r="Q43" s="12" t="s">
        <v>11</v>
      </c>
      <c r="R43" s="12" t="s">
        <v>11</v>
      </c>
    </row>
    <row r="44" spans="1:18" ht="21" customHeight="1" x14ac:dyDescent="0.25">
      <c r="A44" s="3"/>
      <c r="B44" s="3" t="s">
        <v>178</v>
      </c>
      <c r="C44" s="3"/>
      <c r="D44" s="3"/>
      <c r="E44" s="5"/>
      <c r="F44" s="5"/>
      <c r="G44" s="5"/>
      <c r="H44" s="5"/>
      <c r="I44" s="5"/>
      <c r="J44" s="5"/>
      <c r="K44" s="5"/>
      <c r="L44" s="5"/>
      <c r="M44" s="5"/>
      <c r="N44" s="5"/>
      <c r="O44" s="5"/>
      <c r="P44" s="5"/>
      <c r="Q44" s="5"/>
      <c r="R44" s="5"/>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S50"/>
  <sheetViews>
    <sheetView workbookViewId="0"/>
  </sheetViews>
  <sheetFormatPr defaultRowHeight="15" x14ac:dyDescent="0.25"/>
  <cols>
    <col min="1" max="1" width="12" customWidth="1"/>
    <col min="2" max="2" width="24" customWidth="1"/>
    <col min="3" max="3" width="12" customWidth="1"/>
    <col min="4" max="4" width="48" customWidth="1"/>
    <col min="5" max="19" width="9.42578125" customWidth="1"/>
  </cols>
  <sheetData>
    <row r="2" spans="1:19" ht="21.95" customHeight="1" x14ac:dyDescent="0.25">
      <c r="A2" s="7" t="s">
        <v>110</v>
      </c>
      <c r="C2" s="3" t="s">
        <v>60</v>
      </c>
      <c r="E2" s="7" t="s">
        <v>32</v>
      </c>
      <c r="G2" s="3" t="s">
        <v>59</v>
      </c>
    </row>
    <row r="3" spans="1:19" ht="21.95" customHeight="1" x14ac:dyDescent="0.25">
      <c r="A3" s="7" t="s">
        <v>111</v>
      </c>
      <c r="C3" s="3" t="s">
        <v>112</v>
      </c>
      <c r="E3" s="7" t="s">
        <v>113</v>
      </c>
      <c r="G3" s="3" t="s">
        <v>114</v>
      </c>
    </row>
    <row r="4" spans="1:19" ht="21.95" customHeight="1" x14ac:dyDescent="0.25">
      <c r="A4" s="7" t="s">
        <v>115</v>
      </c>
      <c r="C4" s="3">
        <v>58</v>
      </c>
    </row>
    <row r="5" spans="1:19" ht="21.95" customHeight="1" x14ac:dyDescent="0.25">
      <c r="A5" s="7" t="s">
        <v>116</v>
      </c>
      <c r="C5" s="3" t="s">
        <v>61</v>
      </c>
    </row>
    <row r="6" spans="1:19" ht="21.95" customHeight="1" x14ac:dyDescent="0.25">
      <c r="A6" s="8" t="s">
        <v>93</v>
      </c>
      <c r="C6" s="8" t="s">
        <v>94</v>
      </c>
      <c r="E6" s="8" t="s">
        <v>95</v>
      </c>
      <c r="K6" s="8" t="s">
        <v>117</v>
      </c>
      <c r="L6" s="8"/>
      <c r="M6" s="8"/>
      <c r="N6" s="8" t="s">
        <v>102</v>
      </c>
    </row>
    <row r="7" spans="1:19" ht="24" customHeight="1" x14ac:dyDescent="0.25">
      <c r="A7" s="6">
        <f>COUNTIF(E48:S48,"P")</f>
        <v>15</v>
      </c>
      <c r="C7" s="6">
        <f>COUNTIF(E48:S48,"F")</f>
        <v>0</v>
      </c>
      <c r="E7" s="6">
        <f>SUM(N7,-A7,-C7)</f>
        <v>0</v>
      </c>
      <c r="K7" s="6">
        <f>COUNTIF(E47:S47,"N")</f>
        <v>1</v>
      </c>
      <c r="L7" s="6">
        <f>COUNTIF(E47:S47,"A")</f>
        <v>5</v>
      </c>
      <c r="M7" s="6">
        <f>COUNTIF(E47:S47,"B")</f>
        <v>9</v>
      </c>
      <c r="N7" s="6">
        <f>COUNTA(E9:S9)</f>
        <v>15</v>
      </c>
    </row>
    <row r="8" spans="1:19" ht="9.9499999999999993" customHeight="1" x14ac:dyDescent="0.25"/>
    <row r="9" spans="1:19" ht="24" customHeight="1" x14ac:dyDescent="0.25">
      <c r="E9" s="2" t="s">
        <v>118</v>
      </c>
      <c r="F9" s="2" t="s">
        <v>119</v>
      </c>
      <c r="G9" s="2" t="s">
        <v>120</v>
      </c>
      <c r="H9" s="2" t="s">
        <v>121</v>
      </c>
      <c r="I9" s="2" t="s">
        <v>122</v>
      </c>
      <c r="J9" s="2" t="s">
        <v>123</v>
      </c>
      <c r="K9" s="2" t="s">
        <v>124</v>
      </c>
      <c r="L9" s="2" t="s">
        <v>125</v>
      </c>
      <c r="M9" s="2" t="s">
        <v>126</v>
      </c>
      <c r="N9" s="2" t="s">
        <v>127</v>
      </c>
      <c r="O9" s="2" t="s">
        <v>128</v>
      </c>
      <c r="P9" s="2" t="s">
        <v>129</v>
      </c>
      <c r="Q9" s="2" t="s">
        <v>130</v>
      </c>
      <c r="R9" s="2" t="s">
        <v>131</v>
      </c>
      <c r="S9" s="2" t="s">
        <v>132</v>
      </c>
    </row>
    <row r="10" spans="1:19" ht="21.95" customHeight="1" x14ac:dyDescent="0.25">
      <c r="A10" s="2" t="s">
        <v>134</v>
      </c>
      <c r="B10" s="2" t="s">
        <v>135</v>
      </c>
      <c r="D10" s="2" t="s">
        <v>136</v>
      </c>
      <c r="E10" s="2"/>
      <c r="F10" s="2"/>
      <c r="G10" s="2"/>
      <c r="H10" s="2"/>
      <c r="I10" s="2"/>
      <c r="J10" s="2"/>
      <c r="K10" s="2"/>
      <c r="L10" s="2"/>
      <c r="M10" s="2"/>
      <c r="N10" s="2"/>
      <c r="O10" s="2"/>
      <c r="P10" s="2"/>
      <c r="Q10" s="2"/>
      <c r="R10" s="2"/>
      <c r="S10" s="2"/>
    </row>
    <row r="12" spans="1:19" ht="21.95" customHeight="1" x14ac:dyDescent="0.25">
      <c r="A12" s="6"/>
      <c r="B12" s="7" t="s">
        <v>242</v>
      </c>
      <c r="C12" s="6"/>
      <c r="D12" s="6"/>
      <c r="E12" s="6"/>
      <c r="F12" s="6"/>
      <c r="G12" s="6"/>
      <c r="H12" s="6"/>
      <c r="I12" s="6"/>
      <c r="J12" s="6"/>
      <c r="K12" s="6"/>
      <c r="L12" s="6"/>
      <c r="M12" s="6"/>
      <c r="N12" s="6"/>
      <c r="O12" s="6"/>
      <c r="P12" s="6"/>
      <c r="Q12" s="6"/>
      <c r="R12" s="6"/>
      <c r="S12" s="6"/>
    </row>
    <row r="13" spans="1:19" ht="21" customHeight="1" x14ac:dyDescent="0.25">
      <c r="A13" s="3"/>
      <c r="B13" s="3"/>
      <c r="C13" s="3"/>
      <c r="D13" s="3" t="s">
        <v>243</v>
      </c>
      <c r="E13" s="9" t="s">
        <v>139</v>
      </c>
      <c r="F13" s="9"/>
      <c r="G13" s="9"/>
      <c r="H13" s="9"/>
      <c r="I13" s="9"/>
      <c r="J13" s="9"/>
      <c r="K13" s="9"/>
      <c r="L13" s="9"/>
      <c r="M13" s="9"/>
      <c r="N13" s="9"/>
      <c r="O13" s="9"/>
      <c r="P13" s="9"/>
      <c r="Q13" s="9"/>
      <c r="R13" s="9"/>
      <c r="S13" s="9"/>
    </row>
    <row r="14" spans="1:19" ht="21" customHeight="1" x14ac:dyDescent="0.25">
      <c r="A14" s="3"/>
      <c r="B14" s="3"/>
      <c r="C14" s="3"/>
      <c r="D14" s="3" t="s">
        <v>244</v>
      </c>
      <c r="E14" s="9"/>
      <c r="F14" s="9" t="s">
        <v>139</v>
      </c>
      <c r="G14" s="9"/>
      <c r="H14" s="9"/>
      <c r="I14" s="9"/>
      <c r="J14" s="9"/>
      <c r="K14" s="9"/>
      <c r="L14" s="9"/>
      <c r="M14" s="9"/>
      <c r="N14" s="9"/>
      <c r="O14" s="9"/>
      <c r="P14" s="9"/>
      <c r="Q14" s="9"/>
      <c r="R14" s="9"/>
      <c r="S14" s="9"/>
    </row>
    <row r="15" spans="1:19" ht="21" customHeight="1" x14ac:dyDescent="0.25">
      <c r="A15" s="3"/>
      <c r="B15" s="3"/>
      <c r="C15" s="3"/>
      <c r="D15" s="3" t="s">
        <v>245</v>
      </c>
      <c r="E15" s="9"/>
      <c r="F15" s="9"/>
      <c r="G15" s="9" t="s">
        <v>139</v>
      </c>
      <c r="H15" s="9"/>
      <c r="I15" s="9"/>
      <c r="J15" s="9"/>
      <c r="K15" s="9"/>
      <c r="L15" s="9"/>
      <c r="M15" s="9"/>
      <c r="N15" s="9"/>
      <c r="O15" s="9"/>
      <c r="P15" s="9"/>
      <c r="Q15" s="9"/>
      <c r="R15" s="9"/>
      <c r="S15" s="9"/>
    </row>
    <row r="16" spans="1:19" ht="21" customHeight="1" x14ac:dyDescent="0.25">
      <c r="A16" s="3"/>
      <c r="B16" s="3"/>
      <c r="C16" s="3"/>
      <c r="D16" s="3" t="s">
        <v>246</v>
      </c>
      <c r="E16" s="9"/>
      <c r="F16" s="9"/>
      <c r="G16" s="9"/>
      <c r="H16" s="9" t="s">
        <v>139</v>
      </c>
      <c r="I16" s="9"/>
      <c r="J16" s="9"/>
      <c r="K16" s="9"/>
      <c r="L16" s="9"/>
      <c r="M16" s="9"/>
      <c r="N16" s="9"/>
      <c r="O16" s="9"/>
      <c r="P16" s="9"/>
      <c r="Q16" s="9"/>
      <c r="R16" s="9"/>
      <c r="S16" s="9"/>
    </row>
    <row r="17" spans="1:19" ht="21" customHeight="1" x14ac:dyDescent="0.25">
      <c r="A17" s="3"/>
      <c r="B17" s="3"/>
      <c r="C17" s="3"/>
      <c r="D17" s="3" t="s">
        <v>247</v>
      </c>
      <c r="E17" s="9"/>
      <c r="F17" s="9"/>
      <c r="G17" s="9"/>
      <c r="H17" s="9"/>
      <c r="I17" s="9" t="s">
        <v>139</v>
      </c>
      <c r="J17" s="9"/>
      <c r="K17" s="9"/>
      <c r="L17" s="9"/>
      <c r="M17" s="9"/>
      <c r="N17" s="9"/>
      <c r="O17" s="9"/>
      <c r="P17" s="9"/>
      <c r="Q17" s="9"/>
      <c r="R17" s="9"/>
      <c r="S17" s="9"/>
    </row>
    <row r="18" spans="1:19" ht="21" customHeight="1" x14ac:dyDescent="0.25">
      <c r="A18" s="3"/>
      <c r="B18" s="3"/>
      <c r="C18" s="3"/>
      <c r="D18" s="3" t="s">
        <v>248</v>
      </c>
      <c r="E18" s="9"/>
      <c r="F18" s="9"/>
      <c r="G18" s="9"/>
      <c r="H18" s="9"/>
      <c r="I18" s="9"/>
      <c r="J18" s="9" t="s">
        <v>139</v>
      </c>
      <c r="K18" s="9"/>
      <c r="L18" s="9"/>
      <c r="M18" s="9"/>
      <c r="N18" s="9"/>
      <c r="O18" s="9"/>
      <c r="P18" s="9"/>
      <c r="Q18" s="9"/>
      <c r="R18" s="9"/>
      <c r="S18" s="9"/>
    </row>
    <row r="19" spans="1:19" ht="21" customHeight="1" x14ac:dyDescent="0.25">
      <c r="A19" s="3"/>
      <c r="B19" s="3"/>
      <c r="C19" s="3"/>
      <c r="D19" s="3" t="s">
        <v>249</v>
      </c>
      <c r="E19" s="9"/>
      <c r="F19" s="9"/>
      <c r="G19" s="9"/>
      <c r="H19" s="9"/>
      <c r="I19" s="9"/>
      <c r="J19" s="9"/>
      <c r="K19" s="9" t="s">
        <v>139</v>
      </c>
      <c r="L19" s="9"/>
      <c r="M19" s="9"/>
      <c r="N19" s="9"/>
      <c r="O19" s="9"/>
      <c r="P19" s="9"/>
      <c r="Q19" s="9"/>
      <c r="R19" s="9"/>
      <c r="S19" s="9"/>
    </row>
    <row r="20" spans="1:19" ht="21" customHeight="1" x14ac:dyDescent="0.25">
      <c r="A20" s="3"/>
      <c r="B20" s="3"/>
      <c r="C20" s="3"/>
      <c r="D20" s="3" t="s">
        <v>250</v>
      </c>
      <c r="E20" s="9"/>
      <c r="F20" s="9"/>
      <c r="G20" s="9"/>
      <c r="H20" s="9"/>
      <c r="I20" s="9"/>
      <c r="J20" s="9"/>
      <c r="K20" s="9"/>
      <c r="L20" s="9" t="s">
        <v>139</v>
      </c>
      <c r="M20" s="9" t="s">
        <v>139</v>
      </c>
      <c r="N20" s="9" t="s">
        <v>139</v>
      </c>
      <c r="O20" s="9" t="s">
        <v>139</v>
      </c>
      <c r="P20" s="9" t="s">
        <v>139</v>
      </c>
      <c r="Q20" s="9" t="s">
        <v>139</v>
      </c>
      <c r="R20" s="9" t="s">
        <v>139</v>
      </c>
      <c r="S20" s="9" t="s">
        <v>139</v>
      </c>
    </row>
    <row r="21" spans="1:19" ht="21.95" customHeight="1" x14ac:dyDescent="0.25">
      <c r="A21" s="6"/>
      <c r="B21" s="7" t="s">
        <v>251</v>
      </c>
      <c r="C21" s="6"/>
      <c r="D21" s="6"/>
      <c r="E21" s="6"/>
      <c r="F21" s="6"/>
      <c r="G21" s="6"/>
      <c r="H21" s="6"/>
      <c r="I21" s="6"/>
      <c r="J21" s="6"/>
      <c r="K21" s="6"/>
      <c r="L21" s="6"/>
      <c r="M21" s="6"/>
      <c r="N21" s="6"/>
      <c r="O21" s="6"/>
      <c r="P21" s="6"/>
      <c r="Q21" s="6"/>
      <c r="R21" s="6"/>
      <c r="S21" s="6"/>
    </row>
    <row r="22" spans="1:19" ht="21" customHeight="1" x14ac:dyDescent="0.25">
      <c r="A22" s="3"/>
      <c r="B22" s="3"/>
      <c r="C22" s="3"/>
      <c r="D22" s="3" t="s">
        <v>252</v>
      </c>
      <c r="E22" s="9"/>
      <c r="F22" s="9"/>
      <c r="G22" s="9"/>
      <c r="H22" s="9"/>
      <c r="I22" s="9"/>
      <c r="J22" s="9"/>
      <c r="K22" s="9"/>
      <c r="L22" s="9" t="s">
        <v>139</v>
      </c>
      <c r="M22" s="9"/>
      <c r="N22" s="9"/>
      <c r="O22" s="9"/>
      <c r="P22" s="9"/>
      <c r="Q22" s="9"/>
      <c r="R22" s="9"/>
      <c r="S22" s="9"/>
    </row>
    <row r="23" spans="1:19" ht="21" customHeight="1" x14ac:dyDescent="0.25">
      <c r="A23" s="3"/>
      <c r="B23" s="3"/>
      <c r="C23" s="3"/>
      <c r="D23" s="3" t="s">
        <v>253</v>
      </c>
      <c r="E23" s="9"/>
      <c r="F23" s="9"/>
      <c r="G23" s="9"/>
      <c r="H23" s="9"/>
      <c r="I23" s="9"/>
      <c r="J23" s="9"/>
      <c r="K23" s="9"/>
      <c r="L23" s="9"/>
      <c r="M23" s="9" t="s">
        <v>139</v>
      </c>
      <c r="N23" s="9"/>
      <c r="O23" s="9"/>
      <c r="P23" s="9"/>
      <c r="Q23" s="9"/>
      <c r="R23" s="9"/>
      <c r="S23" s="9"/>
    </row>
    <row r="24" spans="1:19" ht="21" customHeight="1" x14ac:dyDescent="0.25">
      <c r="A24" s="3"/>
      <c r="B24" s="3"/>
      <c r="C24" s="3"/>
      <c r="D24" s="3" t="s">
        <v>254</v>
      </c>
      <c r="E24" s="9"/>
      <c r="F24" s="9"/>
      <c r="G24" s="9"/>
      <c r="H24" s="9"/>
      <c r="I24" s="9"/>
      <c r="J24" s="9"/>
      <c r="K24" s="9"/>
      <c r="L24" s="9"/>
      <c r="M24" s="9"/>
      <c r="N24" s="9" t="s">
        <v>139</v>
      </c>
      <c r="O24" s="9"/>
      <c r="P24" s="9"/>
      <c r="Q24" s="9"/>
      <c r="R24" s="9"/>
      <c r="S24" s="9"/>
    </row>
    <row r="25" spans="1:19" ht="21" customHeight="1" x14ac:dyDescent="0.25">
      <c r="A25" s="3"/>
      <c r="B25" s="3"/>
      <c r="C25" s="3"/>
      <c r="D25" s="3" t="s">
        <v>255</v>
      </c>
      <c r="E25" s="9"/>
      <c r="F25" s="9"/>
      <c r="G25" s="9"/>
      <c r="H25" s="9"/>
      <c r="I25" s="9"/>
      <c r="J25" s="9"/>
      <c r="K25" s="9"/>
      <c r="L25" s="9"/>
      <c r="M25" s="9"/>
      <c r="N25" s="9"/>
      <c r="O25" s="9" t="s">
        <v>139</v>
      </c>
      <c r="P25" s="9"/>
      <c r="Q25" s="9"/>
      <c r="R25" s="9"/>
      <c r="S25" s="9"/>
    </row>
    <row r="26" spans="1:19" ht="21" customHeight="1" x14ac:dyDescent="0.25">
      <c r="A26" s="3"/>
      <c r="B26" s="3"/>
      <c r="C26" s="3"/>
      <c r="D26" s="3" t="s">
        <v>256</v>
      </c>
      <c r="E26" s="9" t="s">
        <v>139</v>
      </c>
      <c r="F26" s="9" t="s">
        <v>139</v>
      </c>
      <c r="G26" s="9" t="s">
        <v>139</v>
      </c>
      <c r="H26" s="9" t="s">
        <v>139</v>
      </c>
      <c r="I26" s="9" t="s">
        <v>139</v>
      </c>
      <c r="J26" s="9" t="s">
        <v>139</v>
      </c>
      <c r="K26" s="9" t="s">
        <v>139</v>
      </c>
      <c r="L26" s="9"/>
      <c r="M26" s="9"/>
      <c r="N26" s="9"/>
      <c r="O26" s="9"/>
      <c r="P26" s="9" t="s">
        <v>139</v>
      </c>
      <c r="Q26" s="9" t="s">
        <v>139</v>
      </c>
      <c r="R26" s="9" t="s">
        <v>139</v>
      </c>
      <c r="S26" s="9" t="s">
        <v>139</v>
      </c>
    </row>
    <row r="27" spans="1:19" ht="21.95" customHeight="1" x14ac:dyDescent="0.25">
      <c r="A27" s="6"/>
      <c r="B27" s="7" t="s">
        <v>257</v>
      </c>
      <c r="C27" s="6"/>
      <c r="D27" s="6"/>
      <c r="E27" s="6"/>
      <c r="F27" s="6"/>
      <c r="G27" s="6"/>
      <c r="H27" s="6"/>
      <c r="I27" s="6"/>
      <c r="J27" s="6"/>
      <c r="K27" s="6"/>
      <c r="L27" s="6"/>
      <c r="M27" s="6"/>
      <c r="N27" s="6"/>
      <c r="O27" s="6"/>
      <c r="P27" s="6"/>
      <c r="Q27" s="6"/>
      <c r="R27" s="6"/>
      <c r="S27" s="6"/>
    </row>
    <row r="28" spans="1:19" ht="21" customHeight="1" x14ac:dyDescent="0.25">
      <c r="A28" s="3"/>
      <c r="B28" s="3"/>
      <c r="C28" s="3"/>
      <c r="D28" s="3" t="s">
        <v>258</v>
      </c>
      <c r="E28" s="9"/>
      <c r="F28" s="9"/>
      <c r="G28" s="9"/>
      <c r="H28" s="9"/>
      <c r="I28" s="9"/>
      <c r="J28" s="9"/>
      <c r="K28" s="9"/>
      <c r="L28" s="9"/>
      <c r="M28" s="9"/>
      <c r="N28" s="9"/>
      <c r="O28" s="9"/>
      <c r="P28" s="9" t="s">
        <v>139</v>
      </c>
      <c r="Q28" s="9"/>
      <c r="R28" s="9"/>
      <c r="S28" s="9"/>
    </row>
    <row r="29" spans="1:19" ht="21" customHeight="1" x14ac:dyDescent="0.25">
      <c r="A29" s="3"/>
      <c r="B29" s="3"/>
      <c r="C29" s="3"/>
      <c r="D29" s="3" t="s">
        <v>259</v>
      </c>
      <c r="E29" s="9"/>
      <c r="F29" s="9"/>
      <c r="G29" s="9"/>
      <c r="H29" s="9"/>
      <c r="I29" s="9"/>
      <c r="J29" s="9"/>
      <c r="K29" s="9"/>
      <c r="L29" s="9"/>
      <c r="M29" s="9"/>
      <c r="N29" s="9"/>
      <c r="O29" s="9"/>
      <c r="P29" s="9"/>
      <c r="Q29" s="9" t="s">
        <v>139</v>
      </c>
      <c r="R29" s="9"/>
      <c r="S29" s="9"/>
    </row>
    <row r="30" spans="1:19" ht="21" customHeight="1" x14ac:dyDescent="0.25">
      <c r="A30" s="3"/>
      <c r="B30" s="3"/>
      <c r="C30" s="3"/>
      <c r="D30" s="3" t="s">
        <v>260</v>
      </c>
      <c r="E30" s="9" t="s">
        <v>139</v>
      </c>
      <c r="F30" s="9" t="s">
        <v>139</v>
      </c>
      <c r="G30" s="9" t="s">
        <v>139</v>
      </c>
      <c r="H30" s="9" t="s">
        <v>139</v>
      </c>
      <c r="I30" s="9" t="s">
        <v>139</v>
      </c>
      <c r="J30" s="9" t="s">
        <v>139</v>
      </c>
      <c r="K30" s="9" t="s">
        <v>139</v>
      </c>
      <c r="L30" s="9" t="s">
        <v>139</v>
      </c>
      <c r="M30" s="9" t="s">
        <v>139</v>
      </c>
      <c r="N30" s="9" t="s">
        <v>139</v>
      </c>
      <c r="O30" s="9" t="s">
        <v>139</v>
      </c>
      <c r="P30" s="9"/>
      <c r="Q30" s="9"/>
      <c r="R30" s="9" t="s">
        <v>139</v>
      </c>
      <c r="S30" s="9"/>
    </row>
    <row r="31" spans="1:19" ht="21" customHeight="1" x14ac:dyDescent="0.25">
      <c r="A31" s="3"/>
      <c r="B31" s="3"/>
      <c r="C31" s="3"/>
      <c r="D31" s="3" t="s">
        <v>261</v>
      </c>
      <c r="E31" s="9"/>
      <c r="F31" s="9"/>
      <c r="G31" s="9"/>
      <c r="H31" s="9"/>
      <c r="I31" s="9"/>
      <c r="J31" s="9"/>
      <c r="K31" s="9"/>
      <c r="L31" s="9"/>
      <c r="M31" s="9"/>
      <c r="N31" s="9"/>
      <c r="O31" s="9"/>
      <c r="P31" s="9"/>
      <c r="Q31" s="9"/>
      <c r="R31" s="9"/>
      <c r="S31" s="9" t="s">
        <v>139</v>
      </c>
    </row>
    <row r="32" spans="1:19" ht="21" customHeight="1" x14ac:dyDescent="0.25">
      <c r="A32" s="3"/>
      <c r="B32" s="3"/>
      <c r="C32" s="3"/>
      <c r="D32" s="3" t="s">
        <v>262</v>
      </c>
      <c r="E32" s="9" t="s">
        <v>139</v>
      </c>
      <c r="F32" s="9" t="s">
        <v>139</v>
      </c>
      <c r="G32" s="9" t="s">
        <v>139</v>
      </c>
      <c r="H32" s="9" t="s">
        <v>139</v>
      </c>
      <c r="I32" s="9" t="s">
        <v>139</v>
      </c>
      <c r="J32" s="9" t="s">
        <v>139</v>
      </c>
      <c r="K32" s="9" t="s">
        <v>139</v>
      </c>
      <c r="L32" s="9" t="s">
        <v>139</v>
      </c>
      <c r="M32" s="9" t="s">
        <v>139</v>
      </c>
      <c r="N32" s="9" t="s">
        <v>139</v>
      </c>
      <c r="O32" s="9" t="s">
        <v>139</v>
      </c>
      <c r="P32" s="9" t="s">
        <v>139</v>
      </c>
      <c r="Q32" s="9" t="s">
        <v>139</v>
      </c>
      <c r="R32" s="9" t="s">
        <v>139</v>
      </c>
      <c r="S32" s="9"/>
    </row>
    <row r="34" spans="1:19" ht="24" customHeight="1" x14ac:dyDescent="0.25">
      <c r="A34" s="2" t="s">
        <v>159</v>
      </c>
      <c r="B34" s="4" t="s">
        <v>160</v>
      </c>
      <c r="C34" s="2"/>
      <c r="D34" s="2"/>
      <c r="E34" s="2"/>
      <c r="F34" s="2"/>
      <c r="G34" s="2"/>
      <c r="H34" s="2"/>
      <c r="I34" s="2"/>
      <c r="J34" s="2"/>
      <c r="K34" s="2"/>
      <c r="L34" s="2"/>
      <c r="M34" s="2"/>
      <c r="N34" s="2"/>
      <c r="O34" s="2"/>
      <c r="P34" s="2"/>
      <c r="Q34" s="2"/>
      <c r="R34" s="2"/>
      <c r="S34" s="2"/>
    </row>
    <row r="35" spans="1:19" ht="21" customHeight="1" x14ac:dyDescent="0.25">
      <c r="A35" s="3"/>
      <c r="B35" s="3"/>
      <c r="C35" s="3"/>
      <c r="D35" s="3" t="s">
        <v>263</v>
      </c>
      <c r="E35" s="9"/>
      <c r="F35" s="9" t="s">
        <v>139</v>
      </c>
      <c r="G35" s="9" t="s">
        <v>139</v>
      </c>
      <c r="H35" s="9"/>
      <c r="I35" s="9"/>
      <c r="J35" s="9"/>
      <c r="K35" s="9"/>
      <c r="L35" s="9"/>
      <c r="M35" s="9" t="s">
        <v>139</v>
      </c>
      <c r="N35" s="9" t="s">
        <v>139</v>
      </c>
      <c r="O35" s="9"/>
      <c r="P35" s="9"/>
      <c r="Q35" s="9"/>
      <c r="R35" s="9" t="s">
        <v>139</v>
      </c>
      <c r="S35" s="9"/>
    </row>
    <row r="36" spans="1:19" ht="21" customHeight="1" x14ac:dyDescent="0.25">
      <c r="A36" s="3"/>
      <c r="B36" s="3"/>
      <c r="C36" s="3"/>
      <c r="D36" s="3" t="s">
        <v>264</v>
      </c>
      <c r="E36" s="9" t="s">
        <v>139</v>
      </c>
      <c r="F36" s="9"/>
      <c r="G36" s="9"/>
      <c r="H36" s="9"/>
      <c r="I36" s="9"/>
      <c r="J36" s="9"/>
      <c r="K36" s="9"/>
      <c r="L36" s="9"/>
      <c r="M36" s="9"/>
      <c r="N36" s="9"/>
      <c r="O36" s="9"/>
      <c r="P36" s="9"/>
      <c r="Q36" s="9"/>
      <c r="R36" s="9"/>
      <c r="S36" s="9"/>
    </row>
    <row r="37" spans="1:19" ht="21" customHeight="1" x14ac:dyDescent="0.25">
      <c r="A37" s="3"/>
      <c r="B37" s="3"/>
      <c r="C37" s="3"/>
      <c r="D37" s="3" t="s">
        <v>265</v>
      </c>
      <c r="E37" s="9"/>
      <c r="F37" s="9"/>
      <c r="G37" s="9"/>
      <c r="H37" s="9" t="s">
        <v>139</v>
      </c>
      <c r="I37" s="9"/>
      <c r="J37" s="9"/>
      <c r="K37" s="9"/>
      <c r="L37" s="9"/>
      <c r="M37" s="9"/>
      <c r="N37" s="9"/>
      <c r="O37" s="9"/>
      <c r="P37" s="9"/>
      <c r="Q37" s="9"/>
      <c r="R37" s="9"/>
      <c r="S37" s="9"/>
    </row>
    <row r="38" spans="1:19" ht="21" customHeight="1" x14ac:dyDescent="0.25">
      <c r="A38" s="3"/>
      <c r="B38" s="3"/>
      <c r="C38" s="3"/>
      <c r="D38" s="3" t="s">
        <v>266</v>
      </c>
      <c r="E38" s="9"/>
      <c r="F38" s="9"/>
      <c r="G38" s="9"/>
      <c r="H38" s="9"/>
      <c r="I38" s="9" t="s">
        <v>139</v>
      </c>
      <c r="J38" s="9"/>
      <c r="K38" s="9"/>
      <c r="L38" s="9"/>
      <c r="M38" s="9"/>
      <c r="N38" s="9"/>
      <c r="O38" s="9"/>
      <c r="P38" s="9"/>
      <c r="Q38" s="9"/>
      <c r="R38" s="9"/>
      <c r="S38" s="9"/>
    </row>
    <row r="39" spans="1:19" ht="21" customHeight="1" x14ac:dyDescent="0.25">
      <c r="A39" s="3"/>
      <c r="B39" s="3"/>
      <c r="C39" s="3"/>
      <c r="D39" s="3" t="s">
        <v>267</v>
      </c>
      <c r="E39" s="9"/>
      <c r="F39" s="9"/>
      <c r="G39" s="9"/>
      <c r="H39" s="9"/>
      <c r="I39" s="9"/>
      <c r="J39" s="9" t="s">
        <v>139</v>
      </c>
      <c r="K39" s="9"/>
      <c r="L39" s="9"/>
      <c r="M39" s="9"/>
      <c r="N39" s="9"/>
      <c r="O39" s="9"/>
      <c r="P39" s="9"/>
      <c r="Q39" s="9"/>
      <c r="R39" s="9"/>
      <c r="S39" s="9"/>
    </row>
    <row r="40" spans="1:19" ht="21" customHeight="1" x14ac:dyDescent="0.25">
      <c r="A40" s="3"/>
      <c r="B40" s="3"/>
      <c r="C40" s="3"/>
      <c r="D40" s="3" t="s">
        <v>268</v>
      </c>
      <c r="E40" s="9"/>
      <c r="F40" s="9"/>
      <c r="G40" s="9"/>
      <c r="H40" s="9"/>
      <c r="I40" s="9"/>
      <c r="J40" s="9"/>
      <c r="K40" s="9" t="s">
        <v>139</v>
      </c>
      <c r="L40" s="9"/>
      <c r="M40" s="9"/>
      <c r="N40" s="9"/>
      <c r="O40" s="9"/>
      <c r="P40" s="9"/>
      <c r="Q40" s="9"/>
      <c r="R40" s="9"/>
      <c r="S40" s="9"/>
    </row>
    <row r="41" spans="1:19" ht="21" customHeight="1" x14ac:dyDescent="0.25">
      <c r="A41" s="3"/>
      <c r="B41" s="3"/>
      <c r="C41" s="3"/>
      <c r="D41" s="3" t="s">
        <v>269</v>
      </c>
      <c r="E41" s="9"/>
      <c r="F41" s="9"/>
      <c r="G41" s="9"/>
      <c r="H41" s="9"/>
      <c r="I41" s="9"/>
      <c r="J41" s="9"/>
      <c r="K41" s="9"/>
      <c r="L41" s="9" t="s">
        <v>139</v>
      </c>
      <c r="M41" s="9"/>
      <c r="N41" s="9"/>
      <c r="O41" s="9"/>
      <c r="P41" s="9"/>
      <c r="Q41" s="9"/>
      <c r="R41" s="9"/>
      <c r="S41" s="9"/>
    </row>
    <row r="42" spans="1:19" ht="21" customHeight="1" x14ac:dyDescent="0.25">
      <c r="A42" s="3"/>
      <c r="B42" s="3"/>
      <c r="C42" s="3"/>
      <c r="D42" s="3" t="s">
        <v>270</v>
      </c>
      <c r="E42" s="9"/>
      <c r="F42" s="9"/>
      <c r="G42" s="9"/>
      <c r="H42" s="9"/>
      <c r="I42" s="9"/>
      <c r="J42" s="9"/>
      <c r="K42" s="9"/>
      <c r="L42" s="9"/>
      <c r="M42" s="9"/>
      <c r="N42" s="9"/>
      <c r="O42" s="9" t="s">
        <v>139</v>
      </c>
      <c r="P42" s="9"/>
      <c r="Q42" s="9"/>
      <c r="R42" s="9"/>
      <c r="S42" s="9"/>
    </row>
    <row r="43" spans="1:19" ht="21" customHeight="1" x14ac:dyDescent="0.25">
      <c r="A43" s="3"/>
      <c r="B43" s="3"/>
      <c r="C43" s="3"/>
      <c r="D43" s="3" t="s">
        <v>271</v>
      </c>
      <c r="E43" s="9"/>
      <c r="F43" s="9"/>
      <c r="G43" s="9"/>
      <c r="H43" s="9"/>
      <c r="I43" s="9"/>
      <c r="J43" s="9"/>
      <c r="K43" s="9"/>
      <c r="L43" s="9"/>
      <c r="M43" s="9"/>
      <c r="N43" s="9"/>
      <c r="O43" s="9"/>
      <c r="P43" s="9" t="s">
        <v>139</v>
      </c>
      <c r="Q43" s="9"/>
      <c r="R43" s="9"/>
      <c r="S43" s="9"/>
    </row>
    <row r="44" spans="1:19" ht="21" customHeight="1" x14ac:dyDescent="0.25">
      <c r="A44" s="3"/>
      <c r="B44" s="3"/>
      <c r="C44" s="3"/>
      <c r="D44" s="3" t="s">
        <v>272</v>
      </c>
      <c r="E44" s="9"/>
      <c r="F44" s="9"/>
      <c r="G44" s="9"/>
      <c r="H44" s="9"/>
      <c r="I44" s="9"/>
      <c r="J44" s="9"/>
      <c r="K44" s="9"/>
      <c r="L44" s="9"/>
      <c r="M44" s="9"/>
      <c r="N44" s="9"/>
      <c r="O44" s="9"/>
      <c r="P44" s="9"/>
      <c r="Q44" s="9" t="s">
        <v>139</v>
      </c>
      <c r="R44" s="9"/>
      <c r="S44" s="9"/>
    </row>
    <row r="45" spans="1:19" ht="21" customHeight="1" x14ac:dyDescent="0.25">
      <c r="A45" s="3"/>
      <c r="B45" s="3"/>
      <c r="C45" s="3"/>
      <c r="D45" s="3" t="s">
        <v>273</v>
      </c>
      <c r="E45" s="9"/>
      <c r="F45" s="9"/>
      <c r="G45" s="9"/>
      <c r="H45" s="9"/>
      <c r="I45" s="9"/>
      <c r="J45" s="9"/>
      <c r="K45" s="9"/>
      <c r="L45" s="9"/>
      <c r="M45" s="9"/>
      <c r="N45" s="9"/>
      <c r="O45" s="9"/>
      <c r="P45" s="9"/>
      <c r="Q45" s="9"/>
      <c r="R45" s="9"/>
      <c r="S45" s="9" t="s">
        <v>139</v>
      </c>
    </row>
    <row r="47" spans="1:19" ht="23.1" customHeight="1" x14ac:dyDescent="0.25">
      <c r="A47" s="2" t="s">
        <v>173</v>
      </c>
      <c r="B47" s="4" t="s">
        <v>174</v>
      </c>
      <c r="C47" s="4"/>
      <c r="D47" s="4"/>
      <c r="E47" s="2" t="s">
        <v>101</v>
      </c>
      <c r="F47" s="2" t="s">
        <v>101</v>
      </c>
      <c r="G47" s="2" t="s">
        <v>101</v>
      </c>
      <c r="H47" s="2" t="s">
        <v>101</v>
      </c>
      <c r="I47" s="2" t="s">
        <v>21</v>
      </c>
      <c r="J47" s="2" t="s">
        <v>21</v>
      </c>
      <c r="K47" s="2" t="s">
        <v>21</v>
      </c>
      <c r="L47" s="2" t="s">
        <v>101</v>
      </c>
      <c r="M47" s="2" t="s">
        <v>101</v>
      </c>
      <c r="N47" s="2" t="s">
        <v>101</v>
      </c>
      <c r="O47" s="2" t="s">
        <v>101</v>
      </c>
      <c r="P47" s="2" t="s">
        <v>21</v>
      </c>
      <c r="Q47" s="2" t="s">
        <v>101</v>
      </c>
      <c r="R47" s="2" t="s">
        <v>99</v>
      </c>
      <c r="S47" s="2" t="s">
        <v>21</v>
      </c>
    </row>
    <row r="48" spans="1:19" ht="23.1" customHeight="1" x14ac:dyDescent="0.25">
      <c r="A48" s="3"/>
      <c r="B48" s="10" t="s">
        <v>175</v>
      </c>
      <c r="C48" s="3"/>
      <c r="D48" s="3"/>
      <c r="E48" s="11" t="s">
        <v>176</v>
      </c>
      <c r="F48" s="11" t="s">
        <v>176</v>
      </c>
      <c r="G48" s="11" t="s">
        <v>176</v>
      </c>
      <c r="H48" s="11" t="s">
        <v>176</v>
      </c>
      <c r="I48" s="11" t="s">
        <v>176</v>
      </c>
      <c r="J48" s="11" t="s">
        <v>176</v>
      </c>
      <c r="K48" s="11" t="s">
        <v>176</v>
      </c>
      <c r="L48" s="11" t="s">
        <v>176</v>
      </c>
      <c r="M48" s="11" t="s">
        <v>176</v>
      </c>
      <c r="N48" s="11" t="s">
        <v>176</v>
      </c>
      <c r="O48" s="11" t="s">
        <v>176</v>
      </c>
      <c r="P48" s="11" t="s">
        <v>176</v>
      </c>
      <c r="Q48" s="11" t="s">
        <v>176</v>
      </c>
      <c r="R48" s="11" t="s">
        <v>176</v>
      </c>
      <c r="S48" s="11" t="s">
        <v>176</v>
      </c>
    </row>
    <row r="49" spans="1:19" ht="21" customHeight="1" x14ac:dyDescent="0.25">
      <c r="A49" s="3"/>
      <c r="B49" s="3" t="s">
        <v>177</v>
      </c>
      <c r="C49" s="3"/>
      <c r="D49" s="3"/>
      <c r="E49" s="12" t="s">
        <v>11</v>
      </c>
      <c r="F49" s="12" t="s">
        <v>11</v>
      </c>
      <c r="G49" s="12" t="s">
        <v>11</v>
      </c>
      <c r="H49" s="12" t="s">
        <v>11</v>
      </c>
      <c r="I49" s="12" t="s">
        <v>11</v>
      </c>
      <c r="J49" s="12" t="s">
        <v>11</v>
      </c>
      <c r="K49" s="12" t="s">
        <v>11</v>
      </c>
      <c r="L49" s="12" t="s">
        <v>11</v>
      </c>
      <c r="M49" s="12" t="s">
        <v>11</v>
      </c>
      <c r="N49" s="12" t="s">
        <v>11</v>
      </c>
      <c r="O49" s="12" t="s">
        <v>11</v>
      </c>
      <c r="P49" s="12" t="s">
        <v>11</v>
      </c>
      <c r="Q49" s="12" t="s">
        <v>11</v>
      </c>
      <c r="R49" s="12" t="s">
        <v>11</v>
      </c>
      <c r="S49" s="12" t="s">
        <v>11</v>
      </c>
    </row>
    <row r="50" spans="1:19" ht="21" customHeight="1" x14ac:dyDescent="0.25">
      <c r="A50" s="3"/>
      <c r="B50" s="3" t="s">
        <v>178</v>
      </c>
      <c r="C50" s="3"/>
      <c r="D50" s="3"/>
      <c r="E50" s="5"/>
      <c r="F50" s="5"/>
      <c r="G50" s="5"/>
      <c r="H50" s="5"/>
      <c r="I50" s="5"/>
      <c r="J50" s="5"/>
      <c r="K50" s="5"/>
      <c r="L50" s="5"/>
      <c r="M50" s="5"/>
      <c r="N50" s="5"/>
      <c r="O50" s="5"/>
      <c r="P50" s="5"/>
      <c r="Q50" s="5"/>
      <c r="R50" s="5"/>
      <c r="S50" s="5"/>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N39"/>
  <sheetViews>
    <sheetView workbookViewId="0"/>
  </sheetViews>
  <sheetFormatPr defaultRowHeight="15" x14ac:dyDescent="0.25"/>
  <cols>
    <col min="1" max="1" width="12" customWidth="1"/>
    <col min="2" max="2" width="24" customWidth="1"/>
    <col min="3" max="3" width="12" customWidth="1"/>
    <col min="4" max="4" width="48" customWidth="1"/>
    <col min="5" max="12" width="9.42578125" customWidth="1"/>
  </cols>
  <sheetData>
    <row r="2" spans="1:14" ht="21.95" customHeight="1" x14ac:dyDescent="0.25">
      <c r="A2" s="7" t="s">
        <v>110</v>
      </c>
      <c r="C2" s="3" t="s">
        <v>65</v>
      </c>
      <c r="E2" s="7" t="s">
        <v>32</v>
      </c>
      <c r="G2" s="3" t="s">
        <v>64</v>
      </c>
    </row>
    <row r="3" spans="1:14" ht="21.95" customHeight="1" x14ac:dyDescent="0.25">
      <c r="A3" s="7" t="s">
        <v>111</v>
      </c>
      <c r="C3" s="3" t="s">
        <v>112</v>
      </c>
      <c r="E3" s="7" t="s">
        <v>113</v>
      </c>
      <c r="G3" s="3" t="s">
        <v>114</v>
      </c>
    </row>
    <row r="4" spans="1:14" ht="21.95" customHeight="1" x14ac:dyDescent="0.25">
      <c r="A4" s="7" t="s">
        <v>115</v>
      </c>
      <c r="C4" s="3">
        <v>48</v>
      </c>
    </row>
    <row r="5" spans="1:14" ht="21.95" customHeight="1" x14ac:dyDescent="0.25">
      <c r="A5" s="7" t="s">
        <v>116</v>
      </c>
      <c r="C5" s="3" t="s">
        <v>66</v>
      </c>
    </row>
    <row r="6" spans="1:14" ht="21.95" customHeight="1" x14ac:dyDescent="0.25">
      <c r="A6" s="8" t="s">
        <v>93</v>
      </c>
      <c r="C6" s="8" t="s">
        <v>94</v>
      </c>
      <c r="E6" s="8" t="s">
        <v>95</v>
      </c>
      <c r="K6" s="8" t="s">
        <v>117</v>
      </c>
      <c r="L6" s="8"/>
      <c r="M6" s="8"/>
      <c r="N6" s="8" t="s">
        <v>102</v>
      </c>
    </row>
    <row r="7" spans="1:14" ht="24" customHeight="1" x14ac:dyDescent="0.25">
      <c r="A7" s="6">
        <f>COUNTIF(E37:L37,"P")</f>
        <v>8</v>
      </c>
      <c r="C7" s="6">
        <f>COUNTIF(E37:L37,"F")</f>
        <v>0</v>
      </c>
      <c r="E7" s="6">
        <f>SUM(N7,-A7,-C7)</f>
        <v>0</v>
      </c>
      <c r="K7" s="6">
        <f>COUNTIF(E36:L36,"N")</f>
        <v>5</v>
      </c>
      <c r="L7" s="6">
        <f>COUNTIF(E36:L36,"A")</f>
        <v>1</v>
      </c>
      <c r="M7" s="6">
        <f>COUNTIF(E36:L36,"B")</f>
        <v>2</v>
      </c>
      <c r="N7" s="6">
        <f>COUNTA(E9:L9)</f>
        <v>8</v>
      </c>
    </row>
    <row r="8" spans="1:14" ht="9.9499999999999993" customHeight="1" x14ac:dyDescent="0.25"/>
    <row r="9" spans="1:14" ht="24" customHeight="1" x14ac:dyDescent="0.25">
      <c r="E9" s="2" t="s">
        <v>118</v>
      </c>
      <c r="F9" s="2" t="s">
        <v>119</v>
      </c>
      <c r="G9" s="2" t="s">
        <v>120</v>
      </c>
      <c r="H9" s="2" t="s">
        <v>121</v>
      </c>
      <c r="I9" s="2" t="s">
        <v>122</v>
      </c>
      <c r="J9" s="2" t="s">
        <v>123</v>
      </c>
      <c r="K9" s="2" t="s">
        <v>124</v>
      </c>
      <c r="L9" s="2" t="s">
        <v>125</v>
      </c>
    </row>
    <row r="10" spans="1:14" ht="21.95" customHeight="1" x14ac:dyDescent="0.25">
      <c r="A10" s="2" t="s">
        <v>134</v>
      </c>
      <c r="B10" s="2" t="s">
        <v>135</v>
      </c>
      <c r="D10" s="2" t="s">
        <v>136</v>
      </c>
      <c r="E10" s="2"/>
      <c r="F10" s="2"/>
      <c r="G10" s="2"/>
      <c r="H10" s="2"/>
      <c r="I10" s="2"/>
      <c r="J10" s="2"/>
      <c r="K10" s="2"/>
      <c r="L10" s="2"/>
    </row>
    <row r="12" spans="1:14" ht="21.95" customHeight="1" x14ac:dyDescent="0.25">
      <c r="A12" s="6"/>
      <c r="B12" s="7" t="s">
        <v>274</v>
      </c>
      <c r="C12" s="6"/>
      <c r="D12" s="6"/>
      <c r="E12" s="6"/>
      <c r="F12" s="6"/>
      <c r="G12" s="6"/>
      <c r="H12" s="6"/>
      <c r="I12" s="6"/>
      <c r="J12" s="6"/>
      <c r="K12" s="6"/>
      <c r="L12" s="6"/>
    </row>
    <row r="13" spans="1:14" ht="21" customHeight="1" x14ac:dyDescent="0.25">
      <c r="A13" s="3"/>
      <c r="B13" s="3"/>
      <c r="C13" s="3"/>
      <c r="D13" s="3" t="s">
        <v>275</v>
      </c>
      <c r="E13" s="9" t="s">
        <v>139</v>
      </c>
      <c r="F13" s="9" t="s">
        <v>139</v>
      </c>
      <c r="G13" s="9"/>
      <c r="H13" s="9"/>
      <c r="I13" s="9"/>
      <c r="J13" s="9"/>
      <c r="K13" s="9"/>
      <c r="L13" s="9"/>
    </row>
    <row r="14" spans="1:14" ht="21" customHeight="1" x14ac:dyDescent="0.25">
      <c r="A14" s="3"/>
      <c r="B14" s="3"/>
      <c r="C14" s="3"/>
      <c r="D14" s="3" t="s">
        <v>276</v>
      </c>
      <c r="E14" s="9"/>
      <c r="F14" s="9"/>
      <c r="G14" s="9" t="s">
        <v>139</v>
      </c>
      <c r="H14" s="9" t="s">
        <v>139</v>
      </c>
      <c r="I14" s="9"/>
      <c r="J14" s="9"/>
      <c r="K14" s="9"/>
      <c r="L14" s="9"/>
    </row>
    <row r="15" spans="1:14" ht="21" customHeight="1" x14ac:dyDescent="0.25">
      <c r="A15" s="3"/>
      <c r="B15" s="3"/>
      <c r="C15" s="3"/>
      <c r="D15" s="3" t="s">
        <v>277</v>
      </c>
      <c r="E15" s="9"/>
      <c r="F15" s="9"/>
      <c r="G15" s="9"/>
      <c r="H15" s="9"/>
      <c r="I15" s="9" t="s">
        <v>139</v>
      </c>
      <c r="J15" s="9" t="s">
        <v>139</v>
      </c>
      <c r="K15" s="9" t="s">
        <v>139</v>
      </c>
      <c r="L15" s="9" t="s">
        <v>139</v>
      </c>
    </row>
    <row r="16" spans="1:14" ht="21.95" customHeight="1" x14ac:dyDescent="0.25">
      <c r="A16" s="6"/>
      <c r="B16" s="7" t="s">
        <v>278</v>
      </c>
      <c r="C16" s="6"/>
      <c r="D16" s="6"/>
      <c r="E16" s="6"/>
      <c r="F16" s="6"/>
      <c r="G16" s="6"/>
      <c r="H16" s="6"/>
      <c r="I16" s="6"/>
      <c r="J16" s="6"/>
      <c r="K16" s="6"/>
      <c r="L16" s="6"/>
    </row>
    <row r="17" spans="1:12" ht="21" customHeight="1" x14ac:dyDescent="0.25">
      <c r="A17" s="3"/>
      <c r="B17" s="3"/>
      <c r="C17" s="3"/>
      <c r="D17" s="3" t="s">
        <v>279</v>
      </c>
      <c r="E17" s="9" t="s">
        <v>139</v>
      </c>
      <c r="F17" s="9"/>
      <c r="G17" s="9"/>
      <c r="H17" s="9"/>
      <c r="I17" s="9"/>
      <c r="J17" s="9"/>
      <c r="K17" s="9"/>
      <c r="L17" s="9"/>
    </row>
    <row r="18" spans="1:12" ht="21" customHeight="1" x14ac:dyDescent="0.25">
      <c r="A18" s="3"/>
      <c r="B18" s="3"/>
      <c r="C18" s="3"/>
      <c r="D18" s="3" t="s">
        <v>280</v>
      </c>
      <c r="E18" s="9"/>
      <c r="F18" s="9" t="s">
        <v>139</v>
      </c>
      <c r="G18" s="9"/>
      <c r="H18" s="9"/>
      <c r="I18" s="9"/>
      <c r="J18" s="9"/>
      <c r="K18" s="9"/>
      <c r="L18" s="9"/>
    </row>
    <row r="19" spans="1:12" ht="21" customHeight="1" x14ac:dyDescent="0.25">
      <c r="A19" s="3"/>
      <c r="B19" s="3"/>
      <c r="C19" s="3"/>
      <c r="D19" s="3" t="s">
        <v>281</v>
      </c>
      <c r="E19" s="9"/>
      <c r="F19" s="9"/>
      <c r="G19" s="9" t="s">
        <v>139</v>
      </c>
      <c r="H19" s="9"/>
      <c r="I19" s="9"/>
      <c r="J19" s="9"/>
      <c r="K19" s="9"/>
      <c r="L19" s="9"/>
    </row>
    <row r="20" spans="1:12" ht="21" customHeight="1" x14ac:dyDescent="0.25">
      <c r="A20" s="3"/>
      <c r="B20" s="3"/>
      <c r="C20" s="3"/>
      <c r="D20" s="3" t="s">
        <v>282</v>
      </c>
      <c r="E20" s="9"/>
      <c r="F20" s="9"/>
      <c r="G20" s="9"/>
      <c r="H20" s="9" t="s">
        <v>139</v>
      </c>
      <c r="I20" s="9"/>
      <c r="J20" s="9"/>
      <c r="K20" s="9"/>
      <c r="L20" s="9"/>
    </row>
    <row r="21" spans="1:12" ht="21" customHeight="1" x14ac:dyDescent="0.25">
      <c r="A21" s="3"/>
      <c r="B21" s="3"/>
      <c r="C21" s="3"/>
      <c r="D21" s="3" t="s">
        <v>283</v>
      </c>
      <c r="E21" s="9"/>
      <c r="F21" s="9"/>
      <c r="G21" s="9"/>
      <c r="H21" s="9"/>
      <c r="I21" s="9" t="s">
        <v>139</v>
      </c>
      <c r="J21" s="9"/>
      <c r="K21" s="9"/>
      <c r="L21" s="9"/>
    </row>
    <row r="22" spans="1:12" ht="21" customHeight="1" x14ac:dyDescent="0.25">
      <c r="A22" s="3"/>
      <c r="B22" s="3"/>
      <c r="C22" s="3"/>
      <c r="D22" s="3" t="s">
        <v>284</v>
      </c>
      <c r="E22" s="9"/>
      <c r="F22" s="9"/>
      <c r="G22" s="9"/>
      <c r="H22" s="9"/>
      <c r="I22" s="9"/>
      <c r="J22" s="9" t="s">
        <v>139</v>
      </c>
      <c r="K22" s="9"/>
      <c r="L22" s="9"/>
    </row>
    <row r="23" spans="1:12" ht="21" customHeight="1" x14ac:dyDescent="0.25">
      <c r="A23" s="3"/>
      <c r="B23" s="3"/>
      <c r="C23" s="3"/>
      <c r="D23" s="3" t="s">
        <v>285</v>
      </c>
      <c r="E23" s="9"/>
      <c r="F23" s="9"/>
      <c r="G23" s="9"/>
      <c r="H23" s="9"/>
      <c r="I23" s="9"/>
      <c r="J23" s="9"/>
      <c r="K23" s="9" t="s">
        <v>139</v>
      </c>
      <c r="L23" s="9"/>
    </row>
    <row r="24" spans="1:12" ht="21" customHeight="1" x14ac:dyDescent="0.25">
      <c r="A24" s="3"/>
      <c r="B24" s="3"/>
      <c r="C24" s="3"/>
      <c r="D24" s="3" t="s">
        <v>286</v>
      </c>
      <c r="E24" s="9"/>
      <c r="F24" s="9"/>
      <c r="G24" s="9"/>
      <c r="H24" s="9"/>
      <c r="I24" s="9"/>
      <c r="J24" s="9"/>
      <c r="K24" s="9"/>
      <c r="L24" s="9" t="s">
        <v>139</v>
      </c>
    </row>
    <row r="26" spans="1:12" ht="24" customHeight="1" x14ac:dyDescent="0.25">
      <c r="A26" s="2" t="s">
        <v>159</v>
      </c>
      <c r="B26" s="4" t="s">
        <v>160</v>
      </c>
      <c r="C26" s="2"/>
      <c r="D26" s="2"/>
      <c r="E26" s="2"/>
      <c r="F26" s="2"/>
      <c r="G26" s="2"/>
      <c r="H26" s="2"/>
      <c r="I26" s="2"/>
      <c r="J26" s="2"/>
      <c r="K26" s="2"/>
      <c r="L26" s="2"/>
    </row>
    <row r="27" spans="1:12" ht="21" customHeight="1" x14ac:dyDescent="0.25">
      <c r="A27" s="3"/>
      <c r="B27" s="3"/>
      <c r="C27" s="3"/>
      <c r="D27" s="3" t="s">
        <v>287</v>
      </c>
      <c r="E27" s="9" t="s">
        <v>139</v>
      </c>
      <c r="F27" s="9"/>
      <c r="G27" s="9"/>
      <c r="H27" s="9"/>
      <c r="I27" s="9"/>
      <c r="J27" s="9"/>
      <c r="K27" s="9"/>
      <c r="L27" s="9"/>
    </row>
    <row r="28" spans="1:12" ht="21" customHeight="1" x14ac:dyDescent="0.25">
      <c r="A28" s="3"/>
      <c r="B28" s="3"/>
      <c r="C28" s="3"/>
      <c r="D28" s="3" t="s">
        <v>288</v>
      </c>
      <c r="E28" s="9"/>
      <c r="F28" s="9" t="s">
        <v>139</v>
      </c>
      <c r="G28" s="9"/>
      <c r="H28" s="9"/>
      <c r="I28" s="9"/>
      <c r="J28" s="9"/>
      <c r="K28" s="9"/>
      <c r="L28" s="9"/>
    </row>
    <row r="29" spans="1:12" ht="21" customHeight="1" x14ac:dyDescent="0.25">
      <c r="A29" s="3"/>
      <c r="B29" s="3"/>
      <c r="C29" s="3"/>
      <c r="D29" s="3" t="s">
        <v>289</v>
      </c>
      <c r="E29" s="9"/>
      <c r="F29" s="9"/>
      <c r="G29" s="9" t="s">
        <v>139</v>
      </c>
      <c r="H29" s="9"/>
      <c r="I29" s="9"/>
      <c r="J29" s="9"/>
      <c r="K29" s="9"/>
      <c r="L29" s="9"/>
    </row>
    <row r="30" spans="1:12" ht="21" customHeight="1" x14ac:dyDescent="0.25">
      <c r="A30" s="3"/>
      <c r="B30" s="3"/>
      <c r="C30" s="3"/>
      <c r="D30" s="3" t="s">
        <v>290</v>
      </c>
      <c r="E30" s="9"/>
      <c r="F30" s="9"/>
      <c r="G30" s="9"/>
      <c r="H30" s="9" t="s">
        <v>139</v>
      </c>
      <c r="I30" s="9"/>
      <c r="J30" s="9"/>
      <c r="K30" s="9"/>
      <c r="L30" s="9"/>
    </row>
    <row r="31" spans="1:12" ht="21" customHeight="1" x14ac:dyDescent="0.25">
      <c r="A31" s="3"/>
      <c r="B31" s="3"/>
      <c r="C31" s="3"/>
      <c r="D31" s="3" t="s">
        <v>291</v>
      </c>
      <c r="E31" s="9"/>
      <c r="F31" s="9"/>
      <c r="G31" s="9"/>
      <c r="H31" s="9"/>
      <c r="I31" s="9" t="s">
        <v>139</v>
      </c>
      <c r="J31" s="9"/>
      <c r="K31" s="9"/>
      <c r="L31" s="9"/>
    </row>
    <row r="32" spans="1:12" ht="21" customHeight="1" x14ac:dyDescent="0.25">
      <c r="A32" s="3"/>
      <c r="B32" s="3"/>
      <c r="C32" s="3"/>
      <c r="D32" s="3" t="s">
        <v>292</v>
      </c>
      <c r="E32" s="9"/>
      <c r="F32" s="9"/>
      <c r="G32" s="9"/>
      <c r="H32" s="9"/>
      <c r="I32" s="9"/>
      <c r="J32" s="9" t="s">
        <v>139</v>
      </c>
      <c r="K32" s="9"/>
      <c r="L32" s="9"/>
    </row>
    <row r="33" spans="1:12" ht="21" customHeight="1" x14ac:dyDescent="0.25">
      <c r="A33" s="3"/>
      <c r="B33" s="3"/>
      <c r="C33" s="3"/>
      <c r="D33" s="3" t="s">
        <v>293</v>
      </c>
      <c r="E33" s="9"/>
      <c r="F33" s="9"/>
      <c r="G33" s="9"/>
      <c r="H33" s="9"/>
      <c r="I33" s="9"/>
      <c r="J33" s="9"/>
      <c r="K33" s="9" t="s">
        <v>139</v>
      </c>
      <c r="L33" s="9"/>
    </row>
    <row r="34" spans="1:12" ht="21" customHeight="1" x14ac:dyDescent="0.25">
      <c r="A34" s="3"/>
      <c r="B34" s="3"/>
      <c r="C34" s="3"/>
      <c r="D34" s="3" t="s">
        <v>294</v>
      </c>
      <c r="E34" s="9"/>
      <c r="F34" s="9"/>
      <c r="G34" s="9"/>
      <c r="H34" s="9"/>
      <c r="I34" s="9"/>
      <c r="J34" s="9"/>
      <c r="K34" s="9"/>
      <c r="L34" s="9" t="s">
        <v>139</v>
      </c>
    </row>
    <row r="36" spans="1:12" ht="23.1" customHeight="1" x14ac:dyDescent="0.25">
      <c r="A36" s="2" t="s">
        <v>173</v>
      </c>
      <c r="B36" s="4" t="s">
        <v>174</v>
      </c>
      <c r="C36" s="4"/>
      <c r="D36" s="4"/>
      <c r="E36" s="2" t="s">
        <v>99</v>
      </c>
      <c r="F36" s="2" t="s">
        <v>101</v>
      </c>
      <c r="G36" s="2" t="s">
        <v>99</v>
      </c>
      <c r="H36" s="2" t="s">
        <v>99</v>
      </c>
      <c r="I36" s="2" t="s">
        <v>99</v>
      </c>
      <c r="J36" s="2" t="s">
        <v>99</v>
      </c>
      <c r="K36" s="2" t="s">
        <v>101</v>
      </c>
      <c r="L36" s="2" t="s">
        <v>21</v>
      </c>
    </row>
    <row r="37" spans="1:12" ht="23.1" customHeight="1" x14ac:dyDescent="0.25">
      <c r="A37" s="3"/>
      <c r="B37" s="10" t="s">
        <v>175</v>
      </c>
      <c r="C37" s="3"/>
      <c r="D37" s="3"/>
      <c r="E37" s="11" t="s">
        <v>176</v>
      </c>
      <c r="F37" s="11" t="s">
        <v>176</v>
      </c>
      <c r="G37" s="11" t="s">
        <v>176</v>
      </c>
      <c r="H37" s="11" t="s">
        <v>176</v>
      </c>
      <c r="I37" s="11" t="s">
        <v>176</v>
      </c>
      <c r="J37" s="11" t="s">
        <v>176</v>
      </c>
      <c r="K37" s="11" t="s">
        <v>176</v>
      </c>
      <c r="L37" s="11" t="s">
        <v>176</v>
      </c>
    </row>
    <row r="38" spans="1:12" ht="21" customHeight="1" x14ac:dyDescent="0.25">
      <c r="A38" s="3"/>
      <c r="B38" s="3" t="s">
        <v>177</v>
      </c>
      <c r="C38" s="3"/>
      <c r="D38" s="3"/>
      <c r="E38" s="12" t="s">
        <v>11</v>
      </c>
      <c r="F38" s="12" t="s">
        <v>11</v>
      </c>
      <c r="G38" s="12" t="s">
        <v>11</v>
      </c>
      <c r="H38" s="12" t="s">
        <v>11</v>
      </c>
      <c r="I38" s="12" t="s">
        <v>11</v>
      </c>
      <c r="J38" s="12" t="s">
        <v>11</v>
      </c>
      <c r="K38" s="12" t="s">
        <v>11</v>
      </c>
      <c r="L38" s="12" t="s">
        <v>11</v>
      </c>
    </row>
    <row r="39" spans="1:12" ht="21" customHeight="1" x14ac:dyDescent="0.25">
      <c r="A39" s="3"/>
      <c r="B39" s="3" t="s">
        <v>178</v>
      </c>
      <c r="C39" s="3"/>
      <c r="D39" s="3"/>
      <c r="E39" s="5"/>
      <c r="F39" s="5"/>
      <c r="G39" s="5"/>
      <c r="H39" s="5"/>
      <c r="I39" s="5"/>
      <c r="J39" s="5"/>
      <c r="K39" s="5"/>
      <c r="L39" s="5"/>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N40"/>
  <sheetViews>
    <sheetView workbookViewId="0"/>
  </sheetViews>
  <sheetFormatPr defaultRowHeight="15" x14ac:dyDescent="0.25"/>
  <cols>
    <col min="1" max="1" width="12" customWidth="1"/>
    <col min="2" max="2" width="24" customWidth="1"/>
    <col min="3" max="3" width="12" customWidth="1"/>
    <col min="4" max="4" width="48" customWidth="1"/>
    <col min="5" max="14" width="9.42578125" customWidth="1"/>
  </cols>
  <sheetData>
    <row r="2" spans="1:14" ht="21.95" customHeight="1" x14ac:dyDescent="0.25">
      <c r="A2" s="7" t="s">
        <v>110</v>
      </c>
      <c r="C2" s="3" t="s">
        <v>70</v>
      </c>
      <c r="E2" s="7" t="s">
        <v>32</v>
      </c>
      <c r="G2" s="3" t="s">
        <v>69</v>
      </c>
    </row>
    <row r="3" spans="1:14" ht="21.95" customHeight="1" x14ac:dyDescent="0.25">
      <c r="A3" s="7" t="s">
        <v>111</v>
      </c>
      <c r="C3" s="3" t="s">
        <v>112</v>
      </c>
      <c r="E3" s="7" t="s">
        <v>113</v>
      </c>
      <c r="G3" s="3" t="s">
        <v>114</v>
      </c>
    </row>
    <row r="4" spans="1:14" ht="21.95" customHeight="1" x14ac:dyDescent="0.25">
      <c r="A4" s="7" t="s">
        <v>115</v>
      </c>
      <c r="C4" s="3">
        <v>32</v>
      </c>
    </row>
    <row r="5" spans="1:14" ht="21.95" customHeight="1" x14ac:dyDescent="0.25">
      <c r="A5" s="7" t="s">
        <v>116</v>
      </c>
      <c r="C5" s="3" t="s">
        <v>71</v>
      </c>
    </row>
    <row r="6" spans="1:14" ht="21.95" customHeight="1" x14ac:dyDescent="0.25">
      <c r="A6" s="8" t="s">
        <v>93</v>
      </c>
      <c r="C6" s="8" t="s">
        <v>94</v>
      </c>
      <c r="E6" s="8" t="s">
        <v>95</v>
      </c>
      <c r="K6" s="8" t="s">
        <v>117</v>
      </c>
      <c r="L6" s="8"/>
      <c r="M6" s="8"/>
      <c r="N6" s="8" t="s">
        <v>102</v>
      </c>
    </row>
    <row r="7" spans="1:14" ht="24" customHeight="1" x14ac:dyDescent="0.25">
      <c r="A7" s="6">
        <f>COUNTIF(E38:N38,"P")</f>
        <v>10</v>
      </c>
      <c r="C7" s="6">
        <f>COUNTIF(E38:N38,"F")</f>
        <v>0</v>
      </c>
      <c r="E7" s="6">
        <f>SUM(N7,-A7,-C7)</f>
        <v>0</v>
      </c>
      <c r="K7" s="6">
        <f>COUNTIF(E37:N37,"N")</f>
        <v>7</v>
      </c>
      <c r="L7" s="6">
        <f>COUNTIF(E37:N37,"A")</f>
        <v>3</v>
      </c>
      <c r="M7" s="6">
        <f>COUNTIF(E37:N37,"B")</f>
        <v>0</v>
      </c>
      <c r="N7" s="6">
        <f>COUNTA(E9:N9)</f>
        <v>10</v>
      </c>
    </row>
    <row r="8" spans="1:14" ht="9.9499999999999993" customHeight="1" x14ac:dyDescent="0.25"/>
    <row r="9" spans="1:14" ht="24" customHeight="1" x14ac:dyDescent="0.25">
      <c r="E9" s="2" t="s">
        <v>118</v>
      </c>
      <c r="F9" s="2" t="s">
        <v>119</v>
      </c>
      <c r="G9" s="2" t="s">
        <v>120</v>
      </c>
      <c r="H9" s="2" t="s">
        <v>121</v>
      </c>
      <c r="I9" s="2" t="s">
        <v>122</v>
      </c>
      <c r="J9" s="2" t="s">
        <v>123</v>
      </c>
      <c r="K9" s="2" t="s">
        <v>124</v>
      </c>
      <c r="L9" s="2" t="s">
        <v>125</v>
      </c>
      <c r="M9" s="2" t="s">
        <v>126</v>
      </c>
      <c r="N9" s="2" t="s">
        <v>127</v>
      </c>
    </row>
    <row r="10" spans="1:14" ht="21.95" customHeight="1" x14ac:dyDescent="0.25">
      <c r="A10" s="2" t="s">
        <v>134</v>
      </c>
      <c r="B10" s="2" t="s">
        <v>135</v>
      </c>
      <c r="D10" s="2" t="s">
        <v>136</v>
      </c>
      <c r="E10" s="2"/>
      <c r="F10" s="2"/>
      <c r="G10" s="2"/>
      <c r="H10" s="2"/>
      <c r="I10" s="2"/>
      <c r="J10" s="2"/>
      <c r="K10" s="2"/>
      <c r="L10" s="2"/>
      <c r="M10" s="2"/>
      <c r="N10" s="2"/>
    </row>
    <row r="12" spans="1:14" ht="21.95" customHeight="1" x14ac:dyDescent="0.25">
      <c r="A12" s="6"/>
      <c r="B12" s="7" t="s">
        <v>295</v>
      </c>
      <c r="C12" s="6"/>
      <c r="D12" s="6"/>
      <c r="E12" s="6"/>
      <c r="F12" s="6"/>
      <c r="G12" s="6"/>
      <c r="H12" s="6"/>
      <c r="I12" s="6"/>
      <c r="J12" s="6"/>
      <c r="K12" s="6"/>
      <c r="L12" s="6"/>
      <c r="M12" s="6"/>
      <c r="N12" s="6"/>
    </row>
    <row r="13" spans="1:14" ht="21" customHeight="1" x14ac:dyDescent="0.25">
      <c r="A13" s="3"/>
      <c r="B13" s="3"/>
      <c r="C13" s="3"/>
      <c r="D13" s="3" t="s">
        <v>296</v>
      </c>
      <c r="E13" s="9" t="s">
        <v>139</v>
      </c>
      <c r="F13" s="9" t="s">
        <v>139</v>
      </c>
      <c r="G13" s="9" t="s">
        <v>139</v>
      </c>
      <c r="H13" s="9" t="s">
        <v>139</v>
      </c>
      <c r="I13" s="9"/>
      <c r="J13" s="9"/>
      <c r="K13" s="9" t="s">
        <v>139</v>
      </c>
      <c r="L13" s="9" t="s">
        <v>139</v>
      </c>
      <c r="M13" s="9"/>
      <c r="N13" s="9"/>
    </row>
    <row r="14" spans="1:14" ht="21" customHeight="1" x14ac:dyDescent="0.25">
      <c r="A14" s="3"/>
      <c r="B14" s="3"/>
      <c r="C14" s="3"/>
      <c r="D14" s="3" t="s">
        <v>297</v>
      </c>
      <c r="E14" s="9"/>
      <c r="F14" s="9"/>
      <c r="G14" s="9"/>
      <c r="H14" s="9"/>
      <c r="I14" s="9" t="s">
        <v>139</v>
      </c>
      <c r="J14" s="9" t="s">
        <v>139</v>
      </c>
      <c r="K14" s="9"/>
      <c r="L14" s="9"/>
      <c r="M14" s="9" t="s">
        <v>139</v>
      </c>
      <c r="N14" s="9" t="s">
        <v>139</v>
      </c>
    </row>
    <row r="15" spans="1:14" ht="21.95" customHeight="1" x14ac:dyDescent="0.25">
      <c r="A15" s="6"/>
      <c r="B15" s="7" t="s">
        <v>298</v>
      </c>
      <c r="C15" s="6"/>
      <c r="D15" s="6"/>
      <c r="E15" s="6"/>
      <c r="F15" s="6"/>
      <c r="G15" s="6"/>
      <c r="H15" s="6"/>
      <c r="I15" s="6"/>
      <c r="J15" s="6"/>
      <c r="K15" s="6"/>
      <c r="L15" s="6"/>
      <c r="M15" s="6"/>
      <c r="N15" s="6"/>
    </row>
    <row r="16" spans="1:14" ht="21" customHeight="1" x14ac:dyDescent="0.25">
      <c r="A16" s="3"/>
      <c r="B16" s="3"/>
      <c r="C16" s="3"/>
      <c r="D16" s="3" t="s">
        <v>299</v>
      </c>
      <c r="E16" s="9" t="s">
        <v>139</v>
      </c>
      <c r="F16" s="9" t="s">
        <v>139</v>
      </c>
      <c r="G16" s="9" t="s">
        <v>139</v>
      </c>
      <c r="H16" s="9"/>
      <c r="I16" s="9"/>
      <c r="J16" s="9"/>
      <c r="K16" s="9"/>
      <c r="L16" s="9"/>
      <c r="M16" s="9"/>
      <c r="N16" s="9"/>
    </row>
    <row r="17" spans="1:14" ht="21" customHeight="1" x14ac:dyDescent="0.25">
      <c r="A17" s="3"/>
      <c r="B17" s="3"/>
      <c r="C17" s="3"/>
      <c r="D17" s="3" t="s">
        <v>300</v>
      </c>
      <c r="E17" s="9"/>
      <c r="F17" s="9"/>
      <c r="G17" s="9"/>
      <c r="H17" s="9" t="s">
        <v>139</v>
      </c>
      <c r="I17" s="9"/>
      <c r="J17" s="9"/>
      <c r="K17" s="9"/>
      <c r="L17" s="9"/>
      <c r="M17" s="9"/>
      <c r="N17" s="9"/>
    </row>
    <row r="18" spans="1:14" ht="21" customHeight="1" x14ac:dyDescent="0.25">
      <c r="A18" s="3"/>
      <c r="B18" s="3"/>
      <c r="C18" s="3"/>
      <c r="D18" s="3" t="s">
        <v>301</v>
      </c>
      <c r="E18" s="9"/>
      <c r="F18" s="9"/>
      <c r="G18" s="9"/>
      <c r="H18" s="9"/>
      <c r="I18" s="9" t="s">
        <v>139</v>
      </c>
      <c r="J18" s="9"/>
      <c r="K18" s="9"/>
      <c r="L18" s="9"/>
      <c r="M18" s="9"/>
      <c r="N18" s="9"/>
    </row>
    <row r="19" spans="1:14" ht="21" customHeight="1" x14ac:dyDescent="0.25">
      <c r="A19" s="3"/>
      <c r="B19" s="3"/>
      <c r="C19" s="3"/>
      <c r="D19" s="3" t="s">
        <v>302</v>
      </c>
      <c r="E19" s="9"/>
      <c r="F19" s="9"/>
      <c r="G19" s="9"/>
      <c r="H19" s="9"/>
      <c r="I19" s="9"/>
      <c r="J19" s="9" t="s">
        <v>139</v>
      </c>
      <c r="K19" s="9"/>
      <c r="L19" s="9"/>
      <c r="M19" s="9"/>
      <c r="N19" s="9"/>
    </row>
    <row r="20" spans="1:14" ht="21" customHeight="1" x14ac:dyDescent="0.25">
      <c r="A20" s="3"/>
      <c r="B20" s="3"/>
      <c r="C20" s="3"/>
      <c r="D20" s="3" t="s">
        <v>303</v>
      </c>
      <c r="E20" s="9"/>
      <c r="F20" s="9"/>
      <c r="G20" s="9"/>
      <c r="H20" s="9"/>
      <c r="I20" s="9"/>
      <c r="J20" s="9"/>
      <c r="K20" s="9" t="s">
        <v>139</v>
      </c>
      <c r="L20" s="9"/>
      <c r="M20" s="9"/>
      <c r="N20" s="9"/>
    </row>
    <row r="21" spans="1:14" ht="21" customHeight="1" x14ac:dyDescent="0.25">
      <c r="A21" s="3"/>
      <c r="B21" s="3"/>
      <c r="C21" s="3"/>
      <c r="D21" s="3" t="s">
        <v>304</v>
      </c>
      <c r="E21" s="9"/>
      <c r="F21" s="9"/>
      <c r="G21" s="9"/>
      <c r="H21" s="9"/>
      <c r="I21" s="9"/>
      <c r="J21" s="9"/>
      <c r="K21" s="9"/>
      <c r="L21" s="9" t="s">
        <v>139</v>
      </c>
      <c r="M21" s="9"/>
      <c r="N21" s="9"/>
    </row>
    <row r="22" spans="1:14" ht="21" customHeight="1" x14ac:dyDescent="0.25">
      <c r="A22" s="3"/>
      <c r="B22" s="3"/>
      <c r="C22" s="3"/>
      <c r="D22" s="3" t="s">
        <v>305</v>
      </c>
      <c r="E22" s="9"/>
      <c r="F22" s="9"/>
      <c r="G22" s="9"/>
      <c r="H22" s="9"/>
      <c r="I22" s="9"/>
      <c r="J22" s="9"/>
      <c r="K22" s="9"/>
      <c r="L22" s="9"/>
      <c r="M22" s="9" t="s">
        <v>139</v>
      </c>
      <c r="N22" s="9"/>
    </row>
    <row r="23" spans="1:14" ht="21" customHeight="1" x14ac:dyDescent="0.25">
      <c r="A23" s="3"/>
      <c r="B23" s="3"/>
      <c r="C23" s="3"/>
      <c r="D23" s="3" t="s">
        <v>306</v>
      </c>
      <c r="E23" s="9"/>
      <c r="F23" s="9"/>
      <c r="G23" s="9"/>
      <c r="H23" s="9"/>
      <c r="I23" s="9"/>
      <c r="J23" s="9"/>
      <c r="K23" s="9"/>
      <c r="L23" s="9"/>
      <c r="M23" s="9"/>
      <c r="N23" s="9" t="s">
        <v>139</v>
      </c>
    </row>
    <row r="25" spans="1:14" ht="24" customHeight="1" x14ac:dyDescent="0.25">
      <c r="A25" s="2" t="s">
        <v>159</v>
      </c>
      <c r="B25" s="4" t="s">
        <v>160</v>
      </c>
      <c r="C25" s="2"/>
      <c r="D25" s="2"/>
      <c r="E25" s="2"/>
      <c r="F25" s="2"/>
      <c r="G25" s="2"/>
      <c r="H25" s="2"/>
      <c r="I25" s="2"/>
      <c r="J25" s="2"/>
      <c r="K25" s="2"/>
      <c r="L25" s="2"/>
      <c r="M25" s="2"/>
      <c r="N25" s="2"/>
    </row>
    <row r="26" spans="1:14" ht="21" customHeight="1" x14ac:dyDescent="0.25">
      <c r="A26" s="3"/>
      <c r="B26" s="3"/>
      <c r="C26" s="3"/>
      <c r="D26" s="3" t="s">
        <v>307</v>
      </c>
      <c r="E26" s="9" t="s">
        <v>139</v>
      </c>
      <c r="F26" s="9"/>
      <c r="G26" s="9"/>
      <c r="H26" s="9"/>
      <c r="I26" s="9"/>
      <c r="J26" s="9"/>
      <c r="K26" s="9"/>
      <c r="L26" s="9"/>
      <c r="M26" s="9"/>
      <c r="N26" s="9"/>
    </row>
    <row r="27" spans="1:14" ht="21" customHeight="1" x14ac:dyDescent="0.25">
      <c r="A27" s="3"/>
      <c r="B27" s="3"/>
      <c r="C27" s="3"/>
      <c r="D27" s="3" t="s">
        <v>308</v>
      </c>
      <c r="E27" s="9"/>
      <c r="F27" s="9" t="s">
        <v>139</v>
      </c>
      <c r="G27" s="9"/>
      <c r="H27" s="9"/>
      <c r="I27" s="9"/>
      <c r="J27" s="9"/>
      <c r="K27" s="9"/>
      <c r="L27" s="9"/>
      <c r="M27" s="9"/>
      <c r="N27" s="9"/>
    </row>
    <row r="28" spans="1:14" ht="21" customHeight="1" x14ac:dyDescent="0.25">
      <c r="A28" s="3"/>
      <c r="B28" s="3"/>
      <c r="C28" s="3"/>
      <c r="D28" s="3" t="s">
        <v>309</v>
      </c>
      <c r="E28" s="9"/>
      <c r="F28" s="9"/>
      <c r="G28" s="9" t="s">
        <v>139</v>
      </c>
      <c r="H28" s="9"/>
      <c r="I28" s="9"/>
      <c r="J28" s="9"/>
      <c r="K28" s="9"/>
      <c r="L28" s="9"/>
      <c r="M28" s="9"/>
      <c r="N28" s="9"/>
    </row>
    <row r="29" spans="1:14" ht="21" customHeight="1" x14ac:dyDescent="0.25">
      <c r="A29" s="3"/>
      <c r="B29" s="3"/>
      <c r="C29" s="3"/>
      <c r="D29" s="3" t="s">
        <v>310</v>
      </c>
      <c r="E29" s="9"/>
      <c r="F29" s="9"/>
      <c r="G29" s="9"/>
      <c r="H29" s="9" t="s">
        <v>139</v>
      </c>
      <c r="I29" s="9"/>
      <c r="J29" s="9"/>
      <c r="K29" s="9"/>
      <c r="L29" s="9"/>
      <c r="M29" s="9"/>
      <c r="N29" s="9"/>
    </row>
    <row r="30" spans="1:14" ht="21" customHeight="1" x14ac:dyDescent="0.25">
      <c r="A30" s="3"/>
      <c r="B30" s="3"/>
      <c r="C30" s="3"/>
      <c r="D30" s="3" t="s">
        <v>311</v>
      </c>
      <c r="E30" s="9"/>
      <c r="F30" s="9"/>
      <c r="G30" s="9"/>
      <c r="H30" s="9"/>
      <c r="I30" s="9" t="s">
        <v>139</v>
      </c>
      <c r="J30" s="9"/>
      <c r="K30" s="9"/>
      <c r="L30" s="9"/>
      <c r="M30" s="9"/>
      <c r="N30" s="9"/>
    </row>
    <row r="31" spans="1:14" ht="21" customHeight="1" x14ac:dyDescent="0.25">
      <c r="A31" s="3"/>
      <c r="B31" s="3"/>
      <c r="C31" s="3"/>
      <c r="D31" s="3" t="s">
        <v>312</v>
      </c>
      <c r="E31" s="9"/>
      <c r="F31" s="9"/>
      <c r="G31" s="9"/>
      <c r="H31" s="9"/>
      <c r="I31" s="9"/>
      <c r="J31" s="9" t="s">
        <v>139</v>
      </c>
      <c r="K31" s="9"/>
      <c r="L31" s="9"/>
      <c r="M31" s="9"/>
      <c r="N31" s="9"/>
    </row>
    <row r="32" spans="1:14" ht="21" customHeight="1" x14ac:dyDescent="0.25">
      <c r="A32" s="3"/>
      <c r="B32" s="3"/>
      <c r="C32" s="3"/>
      <c r="D32" s="3" t="s">
        <v>313</v>
      </c>
      <c r="E32" s="9"/>
      <c r="F32" s="9"/>
      <c r="G32" s="9"/>
      <c r="H32" s="9"/>
      <c r="I32" s="9"/>
      <c r="J32" s="9"/>
      <c r="K32" s="9" t="s">
        <v>139</v>
      </c>
      <c r="L32" s="9"/>
      <c r="M32" s="9"/>
      <c r="N32" s="9"/>
    </row>
    <row r="33" spans="1:14" ht="21" customHeight="1" x14ac:dyDescent="0.25">
      <c r="A33" s="3"/>
      <c r="B33" s="3"/>
      <c r="C33" s="3"/>
      <c r="D33" s="3" t="s">
        <v>314</v>
      </c>
      <c r="E33" s="9"/>
      <c r="F33" s="9"/>
      <c r="G33" s="9"/>
      <c r="H33" s="9"/>
      <c r="I33" s="9"/>
      <c r="J33" s="9"/>
      <c r="K33" s="9"/>
      <c r="L33" s="9" t="s">
        <v>139</v>
      </c>
      <c r="M33" s="9"/>
      <c r="N33" s="9"/>
    </row>
    <row r="34" spans="1:14" ht="21" customHeight="1" x14ac:dyDescent="0.25">
      <c r="A34" s="3"/>
      <c r="B34" s="3"/>
      <c r="C34" s="3"/>
      <c r="D34" s="3" t="s">
        <v>315</v>
      </c>
      <c r="E34" s="9"/>
      <c r="F34" s="9"/>
      <c r="G34" s="9"/>
      <c r="H34" s="9"/>
      <c r="I34" s="9"/>
      <c r="J34" s="9"/>
      <c r="K34" s="9"/>
      <c r="L34" s="9"/>
      <c r="M34" s="9" t="s">
        <v>139</v>
      </c>
      <c r="N34" s="9"/>
    </row>
    <row r="35" spans="1:14" ht="21" customHeight="1" x14ac:dyDescent="0.25">
      <c r="A35" s="3"/>
      <c r="B35" s="3"/>
      <c r="C35" s="3"/>
      <c r="D35" s="3" t="s">
        <v>316</v>
      </c>
      <c r="E35" s="9"/>
      <c r="F35" s="9"/>
      <c r="G35" s="9"/>
      <c r="H35" s="9"/>
      <c r="I35" s="9"/>
      <c r="J35" s="9"/>
      <c r="K35" s="9"/>
      <c r="L35" s="9"/>
      <c r="M35" s="9"/>
      <c r="N35" s="9" t="s">
        <v>139</v>
      </c>
    </row>
    <row r="37" spans="1:14" ht="23.1" customHeight="1" x14ac:dyDescent="0.25">
      <c r="A37" s="2" t="s">
        <v>173</v>
      </c>
      <c r="B37" s="4" t="s">
        <v>174</v>
      </c>
      <c r="C37" s="4"/>
      <c r="D37" s="4"/>
      <c r="E37" s="2" t="s">
        <v>99</v>
      </c>
      <c r="F37" s="2" t="s">
        <v>99</v>
      </c>
      <c r="G37" s="2" t="s">
        <v>99</v>
      </c>
      <c r="H37" s="2" t="s">
        <v>99</v>
      </c>
      <c r="I37" s="2" t="s">
        <v>99</v>
      </c>
      <c r="J37" s="2" t="s">
        <v>99</v>
      </c>
      <c r="K37" s="2" t="s">
        <v>99</v>
      </c>
      <c r="L37" s="2" t="s">
        <v>21</v>
      </c>
      <c r="M37" s="2" t="s">
        <v>21</v>
      </c>
      <c r="N37" s="2" t="s">
        <v>21</v>
      </c>
    </row>
    <row r="38" spans="1:14" ht="23.1" customHeight="1" x14ac:dyDescent="0.25">
      <c r="A38" s="3"/>
      <c r="B38" s="10" t="s">
        <v>175</v>
      </c>
      <c r="C38" s="3"/>
      <c r="D38" s="3"/>
      <c r="E38" s="11" t="s">
        <v>176</v>
      </c>
      <c r="F38" s="11" t="s">
        <v>176</v>
      </c>
      <c r="G38" s="11" t="s">
        <v>176</v>
      </c>
      <c r="H38" s="11" t="s">
        <v>176</v>
      </c>
      <c r="I38" s="11" t="s">
        <v>176</v>
      </c>
      <c r="J38" s="11" t="s">
        <v>176</v>
      </c>
      <c r="K38" s="11" t="s">
        <v>176</v>
      </c>
      <c r="L38" s="11" t="s">
        <v>176</v>
      </c>
      <c r="M38" s="11" t="s">
        <v>176</v>
      </c>
      <c r="N38" s="11" t="s">
        <v>176</v>
      </c>
    </row>
    <row r="39" spans="1:14" ht="21" customHeight="1" x14ac:dyDescent="0.25">
      <c r="A39" s="3"/>
      <c r="B39" s="3" t="s">
        <v>177</v>
      </c>
      <c r="C39" s="3"/>
      <c r="D39" s="3"/>
      <c r="E39" s="12" t="s">
        <v>11</v>
      </c>
      <c r="F39" s="12" t="s">
        <v>11</v>
      </c>
      <c r="G39" s="12" t="s">
        <v>11</v>
      </c>
      <c r="H39" s="12" t="s">
        <v>11</v>
      </c>
      <c r="I39" s="12" t="s">
        <v>11</v>
      </c>
      <c r="J39" s="12" t="s">
        <v>11</v>
      </c>
      <c r="K39" s="12" t="s">
        <v>11</v>
      </c>
      <c r="L39" s="12" t="s">
        <v>11</v>
      </c>
      <c r="M39" s="12" t="s">
        <v>11</v>
      </c>
      <c r="N39" s="12" t="s">
        <v>11</v>
      </c>
    </row>
    <row r="40" spans="1:14" ht="21" customHeight="1" x14ac:dyDescent="0.25">
      <c r="A40" s="3"/>
      <c r="B40" s="3" t="s">
        <v>178</v>
      </c>
      <c r="C40" s="3"/>
      <c r="D40" s="3"/>
      <c r="E40" s="5"/>
      <c r="F40" s="5"/>
      <c r="G40" s="5"/>
      <c r="H40" s="5"/>
      <c r="I40" s="5"/>
      <c r="J40" s="5"/>
      <c r="K40" s="5"/>
      <c r="L40" s="5"/>
      <c r="M40" s="5"/>
      <c r="N40" s="5"/>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N38"/>
  <sheetViews>
    <sheetView workbookViewId="0"/>
  </sheetViews>
  <sheetFormatPr defaultRowHeight="15" x14ac:dyDescent="0.25"/>
  <cols>
    <col min="1" max="1" width="12" customWidth="1"/>
    <col min="2" max="2" width="24" customWidth="1"/>
    <col min="3" max="3" width="12" customWidth="1"/>
    <col min="4" max="4" width="48" customWidth="1"/>
    <col min="5" max="12" width="9.42578125" customWidth="1"/>
  </cols>
  <sheetData>
    <row r="2" spans="1:14" ht="21.95" customHeight="1" x14ac:dyDescent="0.25">
      <c r="A2" s="7" t="s">
        <v>110</v>
      </c>
      <c r="C2" s="3" t="s">
        <v>75</v>
      </c>
      <c r="E2" s="7" t="s">
        <v>32</v>
      </c>
      <c r="G2" s="3" t="s">
        <v>74</v>
      </c>
    </row>
    <row r="3" spans="1:14" ht="21.95" customHeight="1" x14ac:dyDescent="0.25">
      <c r="A3" s="7" t="s">
        <v>111</v>
      </c>
      <c r="C3" s="3" t="s">
        <v>112</v>
      </c>
      <c r="E3" s="7" t="s">
        <v>113</v>
      </c>
      <c r="G3" s="3" t="s">
        <v>114</v>
      </c>
    </row>
    <row r="4" spans="1:14" ht="21.95" customHeight="1" x14ac:dyDescent="0.25">
      <c r="A4" s="7" t="s">
        <v>115</v>
      </c>
      <c r="C4" s="3">
        <v>26</v>
      </c>
    </row>
    <row r="5" spans="1:14" ht="21.95" customHeight="1" x14ac:dyDescent="0.25">
      <c r="A5" s="7" t="s">
        <v>116</v>
      </c>
      <c r="C5" s="3" t="s">
        <v>76</v>
      </c>
    </row>
    <row r="6" spans="1:14" ht="21.95" customHeight="1" x14ac:dyDescent="0.25">
      <c r="A6" s="8" t="s">
        <v>93</v>
      </c>
      <c r="C6" s="8" t="s">
        <v>94</v>
      </c>
      <c r="E6" s="8" t="s">
        <v>95</v>
      </c>
      <c r="K6" s="8" t="s">
        <v>117</v>
      </c>
      <c r="L6" s="8"/>
      <c r="M6" s="8"/>
      <c r="N6" s="8" t="s">
        <v>102</v>
      </c>
    </row>
    <row r="7" spans="1:14" ht="24" customHeight="1" x14ac:dyDescent="0.25">
      <c r="A7" s="6">
        <f>COUNTIF(E36:L36,"P")</f>
        <v>8</v>
      </c>
      <c r="C7" s="6">
        <f>COUNTIF(E36:L36,"F")</f>
        <v>0</v>
      </c>
      <c r="E7" s="6">
        <f>SUM(N7,-A7,-C7)</f>
        <v>0</v>
      </c>
      <c r="K7" s="6">
        <f>COUNTIF(E35:L35,"N")</f>
        <v>1</v>
      </c>
      <c r="L7" s="6">
        <f>COUNTIF(E35:L35,"A")</f>
        <v>5</v>
      </c>
      <c r="M7" s="6">
        <f>COUNTIF(E35:L35,"B")</f>
        <v>2</v>
      </c>
      <c r="N7" s="6">
        <f>COUNTA(E9:L9)</f>
        <v>8</v>
      </c>
    </row>
    <row r="8" spans="1:14" ht="9.9499999999999993" customHeight="1" x14ac:dyDescent="0.25"/>
    <row r="9" spans="1:14" ht="24" customHeight="1" x14ac:dyDescent="0.25">
      <c r="E9" s="2" t="s">
        <v>118</v>
      </c>
      <c r="F9" s="2" t="s">
        <v>119</v>
      </c>
      <c r="G9" s="2" t="s">
        <v>120</v>
      </c>
      <c r="H9" s="2" t="s">
        <v>121</v>
      </c>
      <c r="I9" s="2" t="s">
        <v>122</v>
      </c>
      <c r="J9" s="2" t="s">
        <v>123</v>
      </c>
      <c r="K9" s="2" t="s">
        <v>124</v>
      </c>
      <c r="L9" s="2" t="s">
        <v>125</v>
      </c>
    </row>
    <row r="10" spans="1:14" ht="21.95" customHeight="1" x14ac:dyDescent="0.25">
      <c r="A10" s="2" t="s">
        <v>134</v>
      </c>
      <c r="B10" s="2" t="s">
        <v>135</v>
      </c>
      <c r="D10" s="2" t="s">
        <v>136</v>
      </c>
      <c r="E10" s="2"/>
      <c r="F10" s="2"/>
      <c r="G10" s="2"/>
      <c r="H10" s="2"/>
      <c r="I10" s="2"/>
      <c r="J10" s="2"/>
      <c r="K10" s="2"/>
      <c r="L10" s="2"/>
    </row>
    <row r="12" spans="1:14" ht="21.95" customHeight="1" x14ac:dyDescent="0.25">
      <c r="A12" s="6"/>
      <c r="B12" s="7" t="s">
        <v>317</v>
      </c>
      <c r="C12" s="6"/>
      <c r="D12" s="6"/>
      <c r="E12" s="6"/>
      <c r="F12" s="6"/>
      <c r="G12" s="6"/>
      <c r="H12" s="6"/>
      <c r="I12" s="6"/>
      <c r="J12" s="6"/>
      <c r="K12" s="6"/>
      <c r="L12" s="6"/>
    </row>
    <row r="13" spans="1:14" ht="21" customHeight="1" x14ac:dyDescent="0.25">
      <c r="A13" s="3"/>
      <c r="B13" s="3"/>
      <c r="C13" s="3"/>
      <c r="D13" s="3" t="s">
        <v>318</v>
      </c>
      <c r="E13" s="9" t="s">
        <v>139</v>
      </c>
      <c r="F13" s="9" t="s">
        <v>139</v>
      </c>
      <c r="G13" s="9" t="s">
        <v>139</v>
      </c>
      <c r="H13" s="9" t="s">
        <v>139</v>
      </c>
      <c r="I13" s="9" t="s">
        <v>139</v>
      </c>
      <c r="J13" s="9" t="s">
        <v>139</v>
      </c>
      <c r="K13" s="9" t="s">
        <v>139</v>
      </c>
      <c r="L13" s="9"/>
    </row>
    <row r="14" spans="1:14" ht="21" customHeight="1" x14ac:dyDescent="0.25">
      <c r="A14" s="3"/>
      <c r="B14" s="3"/>
      <c r="C14" s="3"/>
      <c r="D14" s="3" t="s">
        <v>319</v>
      </c>
      <c r="E14" s="9"/>
      <c r="F14" s="9"/>
      <c r="G14" s="9"/>
      <c r="H14" s="9"/>
      <c r="I14" s="9"/>
      <c r="J14" s="9"/>
      <c r="K14" s="9"/>
      <c r="L14" s="9" t="s">
        <v>139</v>
      </c>
    </row>
    <row r="15" spans="1:14" ht="21.95" customHeight="1" x14ac:dyDescent="0.25">
      <c r="A15" s="6"/>
      <c r="B15" s="7" t="s">
        <v>320</v>
      </c>
      <c r="C15" s="6"/>
      <c r="D15" s="6"/>
      <c r="E15" s="6"/>
      <c r="F15" s="6"/>
      <c r="G15" s="6"/>
      <c r="H15" s="6"/>
      <c r="I15" s="6"/>
      <c r="J15" s="6"/>
      <c r="K15" s="6"/>
      <c r="L15" s="6"/>
    </row>
    <row r="16" spans="1:14" ht="21" customHeight="1" x14ac:dyDescent="0.25">
      <c r="A16" s="3"/>
      <c r="B16" s="3"/>
      <c r="C16" s="3"/>
      <c r="D16" s="3" t="s">
        <v>185</v>
      </c>
      <c r="E16" s="9" t="s">
        <v>139</v>
      </c>
      <c r="F16" s="9" t="s">
        <v>139</v>
      </c>
      <c r="G16" s="9" t="s">
        <v>139</v>
      </c>
      <c r="H16" s="9"/>
      <c r="I16" s="9" t="s">
        <v>139</v>
      </c>
      <c r="J16" s="9" t="s">
        <v>139</v>
      </c>
      <c r="K16" s="9"/>
      <c r="L16" s="9"/>
    </row>
    <row r="17" spans="1:12" ht="21" customHeight="1" x14ac:dyDescent="0.25">
      <c r="A17" s="3"/>
      <c r="B17" s="3"/>
      <c r="C17" s="3"/>
      <c r="D17" s="3" t="s">
        <v>186</v>
      </c>
      <c r="E17" s="9"/>
      <c r="F17" s="9"/>
      <c r="G17" s="9"/>
      <c r="H17" s="9" t="s">
        <v>139</v>
      </c>
      <c r="I17" s="9"/>
      <c r="J17" s="9"/>
      <c r="K17" s="9"/>
      <c r="L17" s="9"/>
    </row>
    <row r="18" spans="1:12" ht="21" customHeight="1" x14ac:dyDescent="0.25">
      <c r="A18" s="3"/>
      <c r="B18" s="3"/>
      <c r="C18" s="3"/>
      <c r="D18" s="3" t="s">
        <v>141</v>
      </c>
      <c r="E18" s="9"/>
      <c r="F18" s="9"/>
      <c r="G18" s="9"/>
      <c r="H18" s="9"/>
      <c r="I18" s="9"/>
      <c r="J18" s="9"/>
      <c r="K18" s="9" t="s">
        <v>139</v>
      </c>
      <c r="L18" s="9"/>
    </row>
    <row r="19" spans="1:12" ht="21.95" customHeight="1" x14ac:dyDescent="0.25">
      <c r="A19" s="6"/>
      <c r="B19" s="7" t="s">
        <v>321</v>
      </c>
      <c r="C19" s="6"/>
      <c r="D19" s="6"/>
      <c r="E19" s="6"/>
      <c r="F19" s="6"/>
      <c r="G19" s="6"/>
      <c r="H19" s="6"/>
      <c r="I19" s="6"/>
      <c r="J19" s="6"/>
      <c r="K19" s="6"/>
      <c r="L19" s="6"/>
    </row>
    <row r="20" spans="1:12" ht="21" customHeight="1" x14ac:dyDescent="0.25">
      <c r="A20" s="3"/>
      <c r="B20" s="3"/>
      <c r="C20" s="3"/>
      <c r="D20" s="3" t="s">
        <v>322</v>
      </c>
      <c r="E20" s="9" t="s">
        <v>139</v>
      </c>
      <c r="F20" s="9"/>
      <c r="G20" s="9"/>
      <c r="H20" s="9" t="s">
        <v>139</v>
      </c>
      <c r="I20" s="9"/>
      <c r="J20" s="9"/>
      <c r="K20" s="9" t="s">
        <v>139</v>
      </c>
      <c r="L20" s="9" t="s">
        <v>139</v>
      </c>
    </row>
    <row r="21" spans="1:12" ht="21" customHeight="1" x14ac:dyDescent="0.25">
      <c r="A21" s="3"/>
      <c r="B21" s="3"/>
      <c r="C21" s="3"/>
      <c r="D21" s="3" t="s">
        <v>323</v>
      </c>
      <c r="E21" s="9"/>
      <c r="F21" s="9" t="s">
        <v>139</v>
      </c>
      <c r="G21" s="9"/>
      <c r="H21" s="9"/>
      <c r="I21" s="9"/>
      <c r="J21" s="9"/>
      <c r="K21" s="9"/>
      <c r="L21" s="9"/>
    </row>
    <row r="22" spans="1:12" ht="21" customHeight="1" x14ac:dyDescent="0.25">
      <c r="A22" s="3"/>
      <c r="B22" s="3"/>
      <c r="C22" s="3"/>
      <c r="D22" s="3" t="s">
        <v>324</v>
      </c>
      <c r="E22" s="9"/>
      <c r="F22" s="9"/>
      <c r="G22" s="9" t="s">
        <v>139</v>
      </c>
      <c r="H22" s="9"/>
      <c r="I22" s="9"/>
      <c r="J22" s="9"/>
      <c r="K22" s="9"/>
      <c r="L22" s="9"/>
    </row>
    <row r="23" spans="1:12" ht="21" customHeight="1" x14ac:dyDescent="0.25">
      <c r="A23" s="3"/>
      <c r="B23" s="3"/>
      <c r="C23" s="3"/>
      <c r="D23" s="3" t="s">
        <v>325</v>
      </c>
      <c r="E23" s="9"/>
      <c r="F23" s="9"/>
      <c r="G23" s="9"/>
      <c r="H23" s="9"/>
      <c r="I23" s="9" t="s">
        <v>139</v>
      </c>
      <c r="J23" s="9"/>
      <c r="K23" s="9"/>
      <c r="L23" s="9"/>
    </row>
    <row r="24" spans="1:12" ht="21" customHeight="1" x14ac:dyDescent="0.25">
      <c r="A24" s="3"/>
      <c r="B24" s="3"/>
      <c r="C24" s="3"/>
      <c r="D24" s="3" t="s">
        <v>326</v>
      </c>
      <c r="E24" s="9"/>
      <c r="F24" s="9"/>
      <c r="G24" s="9"/>
      <c r="H24" s="9"/>
      <c r="I24" s="9"/>
      <c r="J24" s="9" t="s">
        <v>139</v>
      </c>
      <c r="K24" s="9"/>
      <c r="L24" s="9"/>
    </row>
    <row r="26" spans="1:12" ht="24" customHeight="1" x14ac:dyDescent="0.25">
      <c r="A26" s="2" t="s">
        <v>159</v>
      </c>
      <c r="B26" s="4" t="s">
        <v>160</v>
      </c>
      <c r="C26" s="2"/>
      <c r="D26" s="2"/>
      <c r="E26" s="2"/>
      <c r="F26" s="2"/>
      <c r="G26" s="2"/>
      <c r="H26" s="2"/>
      <c r="I26" s="2"/>
      <c r="J26" s="2"/>
      <c r="K26" s="2"/>
      <c r="L26" s="2"/>
    </row>
    <row r="27" spans="1:12" ht="21" customHeight="1" x14ac:dyDescent="0.25">
      <c r="A27" s="3"/>
      <c r="B27" s="3"/>
      <c r="C27" s="3"/>
      <c r="D27" s="3" t="s">
        <v>327</v>
      </c>
      <c r="E27" s="9" t="s">
        <v>139</v>
      </c>
      <c r="F27" s="9"/>
      <c r="G27" s="9" t="s">
        <v>139</v>
      </c>
      <c r="H27" s="9"/>
      <c r="I27" s="9"/>
      <c r="J27" s="9"/>
      <c r="K27" s="9"/>
      <c r="L27" s="9"/>
    </row>
    <row r="28" spans="1:12" ht="21" customHeight="1" x14ac:dyDescent="0.25">
      <c r="A28" s="3"/>
      <c r="B28" s="3"/>
      <c r="C28" s="3"/>
      <c r="D28" s="3" t="s">
        <v>328</v>
      </c>
      <c r="E28" s="9"/>
      <c r="F28" s="9" t="s">
        <v>139</v>
      </c>
      <c r="G28" s="9"/>
      <c r="H28" s="9"/>
      <c r="I28" s="9"/>
      <c r="J28" s="9"/>
      <c r="K28" s="9"/>
      <c r="L28" s="9"/>
    </row>
    <row r="29" spans="1:12" ht="21" customHeight="1" x14ac:dyDescent="0.25">
      <c r="A29" s="3"/>
      <c r="B29" s="3"/>
      <c r="C29" s="3"/>
      <c r="D29" s="3" t="s">
        <v>329</v>
      </c>
      <c r="E29" s="9"/>
      <c r="F29" s="9"/>
      <c r="G29" s="9"/>
      <c r="H29" s="9" t="s">
        <v>139</v>
      </c>
      <c r="I29" s="9"/>
      <c r="J29" s="9"/>
      <c r="K29" s="9"/>
      <c r="L29" s="9"/>
    </row>
    <row r="30" spans="1:12" ht="21" customHeight="1" x14ac:dyDescent="0.25">
      <c r="A30" s="3"/>
      <c r="B30" s="3"/>
      <c r="C30" s="3"/>
      <c r="D30" s="3" t="s">
        <v>330</v>
      </c>
      <c r="E30" s="9"/>
      <c r="F30" s="9"/>
      <c r="G30" s="9"/>
      <c r="H30" s="9"/>
      <c r="I30" s="9" t="s">
        <v>139</v>
      </c>
      <c r="J30" s="9"/>
      <c r="K30" s="9"/>
      <c r="L30" s="9"/>
    </row>
    <row r="31" spans="1:12" ht="21" customHeight="1" x14ac:dyDescent="0.25">
      <c r="A31" s="3"/>
      <c r="B31" s="3"/>
      <c r="C31" s="3"/>
      <c r="D31" s="3" t="s">
        <v>331</v>
      </c>
      <c r="E31" s="9"/>
      <c r="F31" s="9"/>
      <c r="G31" s="9"/>
      <c r="H31" s="9"/>
      <c r="I31" s="9"/>
      <c r="J31" s="9" t="s">
        <v>139</v>
      </c>
      <c r="K31" s="9"/>
      <c r="L31" s="9"/>
    </row>
    <row r="32" spans="1:12" ht="21" customHeight="1" x14ac:dyDescent="0.25">
      <c r="A32" s="3"/>
      <c r="B32" s="3"/>
      <c r="C32" s="3"/>
      <c r="D32" s="3" t="s">
        <v>332</v>
      </c>
      <c r="E32" s="9"/>
      <c r="F32" s="9"/>
      <c r="G32" s="9"/>
      <c r="H32" s="9"/>
      <c r="I32" s="9"/>
      <c r="J32" s="9"/>
      <c r="K32" s="9" t="s">
        <v>139</v>
      </c>
      <c r="L32" s="9"/>
    </row>
    <row r="33" spans="1:12" ht="21" customHeight="1" x14ac:dyDescent="0.25">
      <c r="A33" s="3"/>
      <c r="B33" s="3"/>
      <c r="C33" s="3"/>
      <c r="D33" s="3" t="s">
        <v>333</v>
      </c>
      <c r="E33" s="9"/>
      <c r="F33" s="9"/>
      <c r="G33" s="9"/>
      <c r="H33" s="9"/>
      <c r="I33" s="9"/>
      <c r="J33" s="9"/>
      <c r="K33" s="9"/>
      <c r="L33" s="9" t="s">
        <v>139</v>
      </c>
    </row>
    <row r="35" spans="1:12" ht="23.1" customHeight="1" x14ac:dyDescent="0.25">
      <c r="A35" s="2" t="s">
        <v>173</v>
      </c>
      <c r="B35" s="4" t="s">
        <v>174</v>
      </c>
      <c r="C35" s="4"/>
      <c r="D35" s="4"/>
      <c r="E35" s="2" t="s">
        <v>99</v>
      </c>
      <c r="F35" s="2" t="s">
        <v>101</v>
      </c>
      <c r="G35" s="2" t="s">
        <v>101</v>
      </c>
      <c r="H35" s="2" t="s">
        <v>21</v>
      </c>
      <c r="I35" s="2" t="s">
        <v>21</v>
      </c>
      <c r="J35" s="2" t="s">
        <v>21</v>
      </c>
      <c r="K35" s="2" t="s">
        <v>21</v>
      </c>
      <c r="L35" s="2" t="s">
        <v>21</v>
      </c>
    </row>
    <row r="36" spans="1:12" ht="23.1" customHeight="1" x14ac:dyDescent="0.25">
      <c r="A36" s="3"/>
      <c r="B36" s="10" t="s">
        <v>175</v>
      </c>
      <c r="C36" s="3"/>
      <c r="D36" s="3"/>
      <c r="E36" s="11" t="s">
        <v>176</v>
      </c>
      <c r="F36" s="11" t="s">
        <v>176</v>
      </c>
      <c r="G36" s="11" t="s">
        <v>176</v>
      </c>
      <c r="H36" s="11" t="s">
        <v>176</v>
      </c>
      <c r="I36" s="11" t="s">
        <v>176</v>
      </c>
      <c r="J36" s="11" t="s">
        <v>176</v>
      </c>
      <c r="K36" s="11" t="s">
        <v>176</v>
      </c>
      <c r="L36" s="11" t="s">
        <v>176</v>
      </c>
    </row>
    <row r="37" spans="1:12" ht="21" customHeight="1" x14ac:dyDescent="0.25">
      <c r="A37" s="3"/>
      <c r="B37" s="3" t="s">
        <v>177</v>
      </c>
      <c r="C37" s="3"/>
      <c r="D37" s="3"/>
      <c r="E37" s="12" t="s">
        <v>11</v>
      </c>
      <c r="F37" s="12" t="s">
        <v>11</v>
      </c>
      <c r="G37" s="12" t="s">
        <v>11</v>
      </c>
      <c r="H37" s="12" t="s">
        <v>11</v>
      </c>
      <c r="I37" s="12" t="s">
        <v>11</v>
      </c>
      <c r="J37" s="12" t="s">
        <v>11</v>
      </c>
      <c r="K37" s="12" t="s">
        <v>11</v>
      </c>
      <c r="L37" s="12" t="s">
        <v>11</v>
      </c>
    </row>
    <row r="38" spans="1:12" ht="21" customHeight="1" x14ac:dyDescent="0.25">
      <c r="A38" s="3"/>
      <c r="B38" s="3" t="s">
        <v>178</v>
      </c>
      <c r="C38" s="3"/>
      <c r="D38" s="3"/>
      <c r="E38" s="5"/>
      <c r="F38" s="5"/>
      <c r="G38" s="5"/>
      <c r="H38" s="5"/>
      <c r="I38" s="5"/>
      <c r="J38" s="5"/>
      <c r="K38" s="5"/>
      <c r="L38" s="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N29"/>
  <sheetViews>
    <sheetView workbookViewId="0"/>
  </sheetViews>
  <sheetFormatPr defaultRowHeight="15" x14ac:dyDescent="0.25"/>
  <cols>
    <col min="1" max="1" width="12" customWidth="1"/>
    <col min="2" max="2" width="24" customWidth="1"/>
    <col min="3" max="3" width="12" customWidth="1"/>
    <col min="4" max="4" width="48" customWidth="1"/>
    <col min="5" max="9" width="9.42578125" customWidth="1"/>
  </cols>
  <sheetData>
    <row r="2" spans="1:14" ht="21.95" customHeight="1" x14ac:dyDescent="0.25">
      <c r="A2" s="7" t="s">
        <v>110</v>
      </c>
      <c r="C2" s="3" t="s">
        <v>81</v>
      </c>
      <c r="E2" s="7" t="s">
        <v>32</v>
      </c>
      <c r="G2" s="3" t="s">
        <v>80</v>
      </c>
    </row>
    <row r="3" spans="1:14" ht="21.95" customHeight="1" x14ac:dyDescent="0.25">
      <c r="A3" s="7" t="s">
        <v>111</v>
      </c>
      <c r="C3" s="3" t="s">
        <v>112</v>
      </c>
      <c r="E3" s="7" t="s">
        <v>113</v>
      </c>
      <c r="G3" s="3" t="s">
        <v>114</v>
      </c>
    </row>
    <row r="4" spans="1:14" ht="21.95" customHeight="1" x14ac:dyDescent="0.25">
      <c r="A4" s="7" t="s">
        <v>115</v>
      </c>
      <c r="C4" s="3">
        <v>35</v>
      </c>
    </row>
    <row r="5" spans="1:14" ht="21.95" customHeight="1" x14ac:dyDescent="0.25">
      <c r="A5" s="7" t="s">
        <v>116</v>
      </c>
      <c r="C5" s="3" t="s">
        <v>82</v>
      </c>
    </row>
    <row r="6" spans="1:14" ht="21.95" customHeight="1" x14ac:dyDescent="0.25">
      <c r="A6" s="8" t="s">
        <v>93</v>
      </c>
      <c r="C6" s="8" t="s">
        <v>94</v>
      </c>
      <c r="E6" s="8" t="s">
        <v>95</v>
      </c>
      <c r="K6" s="8" t="s">
        <v>117</v>
      </c>
      <c r="L6" s="8"/>
      <c r="M6" s="8"/>
      <c r="N6" s="8" t="s">
        <v>102</v>
      </c>
    </row>
    <row r="7" spans="1:14" ht="24" customHeight="1" x14ac:dyDescent="0.25">
      <c r="A7" s="6">
        <f>COUNTIF(E27:I27,"P")</f>
        <v>5</v>
      </c>
      <c r="C7" s="6">
        <f>COUNTIF(E27:I27,"F")</f>
        <v>0</v>
      </c>
      <c r="E7" s="6">
        <f>SUM(N7,-A7,-C7)</f>
        <v>0</v>
      </c>
      <c r="K7" s="6">
        <f>COUNTIF(E26:I26,"N")</f>
        <v>5</v>
      </c>
      <c r="L7" s="6">
        <f>COUNTIF(E26:I26,"A")</f>
        <v>0</v>
      </c>
      <c r="M7" s="6">
        <f>COUNTIF(E26:I26,"B")</f>
        <v>0</v>
      </c>
      <c r="N7" s="6">
        <f>COUNTA(E9:I9)</f>
        <v>5</v>
      </c>
    </row>
    <row r="8" spans="1:14" ht="9.9499999999999993" customHeight="1" x14ac:dyDescent="0.25"/>
    <row r="9" spans="1:14" ht="24" customHeight="1" x14ac:dyDescent="0.25">
      <c r="E9" s="2" t="s">
        <v>118</v>
      </c>
      <c r="F9" s="2" t="s">
        <v>119</v>
      </c>
      <c r="G9" s="2" t="s">
        <v>120</v>
      </c>
      <c r="H9" s="2" t="s">
        <v>121</v>
      </c>
      <c r="I9" s="2" t="s">
        <v>122</v>
      </c>
    </row>
    <row r="10" spans="1:14" ht="21.95" customHeight="1" x14ac:dyDescent="0.25">
      <c r="A10" s="2" t="s">
        <v>134</v>
      </c>
      <c r="B10" s="2" t="s">
        <v>135</v>
      </c>
      <c r="D10" s="2" t="s">
        <v>136</v>
      </c>
      <c r="E10" s="2"/>
      <c r="F10" s="2"/>
      <c r="G10" s="2"/>
      <c r="H10" s="2"/>
      <c r="I10" s="2"/>
    </row>
    <row r="12" spans="1:14" ht="21.95" customHeight="1" x14ac:dyDescent="0.25">
      <c r="A12" s="6"/>
      <c r="B12" s="7" t="s">
        <v>334</v>
      </c>
      <c r="C12" s="6"/>
      <c r="D12" s="6"/>
      <c r="E12" s="6"/>
      <c r="F12" s="6"/>
      <c r="G12" s="6"/>
      <c r="H12" s="6"/>
      <c r="I12" s="6"/>
    </row>
    <row r="13" spans="1:14" ht="21" customHeight="1" x14ac:dyDescent="0.25">
      <c r="A13" s="3"/>
      <c r="B13" s="3"/>
      <c r="C13" s="3"/>
      <c r="D13" s="3" t="s">
        <v>335</v>
      </c>
      <c r="E13" s="9" t="s">
        <v>139</v>
      </c>
      <c r="F13" s="9"/>
      <c r="G13" s="9"/>
      <c r="H13" s="9"/>
      <c r="I13" s="9"/>
    </row>
    <row r="14" spans="1:14" ht="21" customHeight="1" x14ac:dyDescent="0.25">
      <c r="A14" s="3"/>
      <c r="B14" s="3"/>
      <c r="C14" s="3"/>
      <c r="D14" s="3" t="s">
        <v>336</v>
      </c>
      <c r="E14" s="9"/>
      <c r="F14" s="9" t="s">
        <v>139</v>
      </c>
      <c r="G14" s="9"/>
      <c r="H14" s="9"/>
      <c r="I14" s="9"/>
    </row>
    <row r="15" spans="1:14" ht="21" customHeight="1" x14ac:dyDescent="0.25">
      <c r="A15" s="3"/>
      <c r="B15" s="3"/>
      <c r="C15" s="3"/>
      <c r="D15" s="3" t="s">
        <v>337</v>
      </c>
      <c r="E15" s="9"/>
      <c r="F15" s="9"/>
      <c r="G15" s="9" t="s">
        <v>139</v>
      </c>
      <c r="H15" s="9"/>
      <c r="I15" s="9"/>
    </row>
    <row r="16" spans="1:14" ht="21" customHeight="1" x14ac:dyDescent="0.25">
      <c r="A16" s="3"/>
      <c r="B16" s="3"/>
      <c r="C16" s="3"/>
      <c r="D16" s="3" t="s">
        <v>338</v>
      </c>
      <c r="E16" s="9"/>
      <c r="F16" s="9"/>
      <c r="G16" s="9"/>
      <c r="H16" s="9" t="s">
        <v>139</v>
      </c>
      <c r="I16" s="9"/>
    </row>
    <row r="17" spans="1:9" ht="21" customHeight="1" x14ac:dyDescent="0.25">
      <c r="A17" s="3"/>
      <c r="B17" s="3"/>
      <c r="C17" s="3"/>
      <c r="D17" s="3" t="s">
        <v>339</v>
      </c>
      <c r="E17" s="9"/>
      <c r="F17" s="9"/>
      <c r="G17" s="9"/>
      <c r="H17" s="9"/>
      <c r="I17" s="9" t="s">
        <v>139</v>
      </c>
    </row>
    <row r="19" spans="1:9" ht="24" customHeight="1" x14ac:dyDescent="0.25">
      <c r="A19" s="2" t="s">
        <v>159</v>
      </c>
      <c r="B19" s="4" t="s">
        <v>160</v>
      </c>
      <c r="C19" s="2"/>
      <c r="D19" s="2"/>
      <c r="E19" s="2"/>
      <c r="F19" s="2"/>
      <c r="G19" s="2"/>
      <c r="H19" s="2"/>
      <c r="I19" s="2"/>
    </row>
    <row r="20" spans="1:9" ht="21" customHeight="1" x14ac:dyDescent="0.25">
      <c r="A20" s="3"/>
      <c r="B20" s="3"/>
      <c r="C20" s="3"/>
      <c r="D20" s="3" t="s">
        <v>340</v>
      </c>
      <c r="E20" s="9" t="s">
        <v>139</v>
      </c>
      <c r="F20" s="9"/>
      <c r="G20" s="9"/>
      <c r="H20" s="9"/>
      <c r="I20" s="9"/>
    </row>
    <row r="21" spans="1:9" ht="21" customHeight="1" x14ac:dyDescent="0.25">
      <c r="A21" s="3"/>
      <c r="B21" s="3"/>
      <c r="C21" s="3"/>
      <c r="D21" s="3" t="s">
        <v>341</v>
      </c>
      <c r="E21" s="9"/>
      <c r="F21" s="9" t="s">
        <v>139</v>
      </c>
      <c r="G21" s="9"/>
      <c r="H21" s="9"/>
      <c r="I21" s="9"/>
    </row>
    <row r="22" spans="1:9" ht="21" customHeight="1" x14ac:dyDescent="0.25">
      <c r="A22" s="3"/>
      <c r="B22" s="3"/>
      <c r="C22" s="3"/>
      <c r="D22" s="3" t="s">
        <v>342</v>
      </c>
      <c r="E22" s="9"/>
      <c r="F22" s="9"/>
      <c r="G22" s="9" t="s">
        <v>139</v>
      </c>
      <c r="H22" s="9"/>
      <c r="I22" s="9"/>
    </row>
    <row r="23" spans="1:9" ht="21" customHeight="1" x14ac:dyDescent="0.25">
      <c r="A23" s="3"/>
      <c r="B23" s="3"/>
      <c r="C23" s="3"/>
      <c r="D23" s="3" t="s">
        <v>343</v>
      </c>
      <c r="E23" s="9"/>
      <c r="F23" s="9"/>
      <c r="G23" s="9"/>
      <c r="H23" s="9" t="s">
        <v>139</v>
      </c>
      <c r="I23" s="9"/>
    </row>
    <row r="24" spans="1:9" ht="21" customHeight="1" x14ac:dyDescent="0.25">
      <c r="A24" s="3"/>
      <c r="B24" s="3"/>
      <c r="C24" s="3"/>
      <c r="D24" s="3" t="s">
        <v>344</v>
      </c>
      <c r="E24" s="9"/>
      <c r="F24" s="9"/>
      <c r="G24" s="9"/>
      <c r="H24" s="9"/>
      <c r="I24" s="9" t="s">
        <v>139</v>
      </c>
    </row>
    <row r="26" spans="1:9" ht="23.1" customHeight="1" x14ac:dyDescent="0.25">
      <c r="A26" s="2" t="s">
        <v>173</v>
      </c>
      <c r="B26" s="4" t="s">
        <v>174</v>
      </c>
      <c r="C26" s="4"/>
      <c r="D26" s="4"/>
      <c r="E26" s="2" t="s">
        <v>99</v>
      </c>
      <c r="F26" s="2" t="s">
        <v>99</v>
      </c>
      <c r="G26" s="2" t="s">
        <v>99</v>
      </c>
      <c r="H26" s="2" t="s">
        <v>99</v>
      </c>
      <c r="I26" s="2" t="s">
        <v>99</v>
      </c>
    </row>
    <row r="27" spans="1:9" ht="23.1" customHeight="1" x14ac:dyDescent="0.25">
      <c r="A27" s="3"/>
      <c r="B27" s="10" t="s">
        <v>175</v>
      </c>
      <c r="C27" s="3"/>
      <c r="D27" s="3"/>
      <c r="E27" s="11" t="s">
        <v>176</v>
      </c>
      <c r="F27" s="11" t="s">
        <v>176</v>
      </c>
      <c r="G27" s="11" t="s">
        <v>176</v>
      </c>
      <c r="H27" s="11" t="s">
        <v>176</v>
      </c>
      <c r="I27" s="11" t="s">
        <v>176</v>
      </c>
    </row>
    <row r="28" spans="1:9" ht="21" customHeight="1" x14ac:dyDescent="0.25">
      <c r="A28" s="3"/>
      <c r="B28" s="3" t="s">
        <v>177</v>
      </c>
      <c r="C28" s="3"/>
      <c r="D28" s="3"/>
      <c r="E28" s="12" t="s">
        <v>11</v>
      </c>
      <c r="F28" s="12" t="s">
        <v>11</v>
      </c>
      <c r="G28" s="12" t="s">
        <v>11</v>
      </c>
      <c r="H28" s="12" t="s">
        <v>11</v>
      </c>
      <c r="I28" s="12" t="s">
        <v>11</v>
      </c>
    </row>
    <row r="29" spans="1:9" ht="21" customHeight="1" x14ac:dyDescent="0.25">
      <c r="A29" s="3"/>
      <c r="B29" s="3" t="s">
        <v>178</v>
      </c>
      <c r="C29" s="3"/>
      <c r="D29" s="3"/>
      <c r="E29" s="5"/>
      <c r="F29" s="5"/>
      <c r="G29" s="5"/>
      <c r="H29" s="5"/>
      <c r="I29" s="5"/>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N28"/>
  <sheetViews>
    <sheetView workbookViewId="0"/>
  </sheetViews>
  <sheetFormatPr defaultRowHeight="15" x14ac:dyDescent="0.25"/>
  <cols>
    <col min="1" max="1" width="12" customWidth="1"/>
    <col min="2" max="2" width="24" customWidth="1"/>
    <col min="3" max="3" width="12" customWidth="1"/>
    <col min="4" max="4" width="48" customWidth="1"/>
    <col min="5" max="9" width="9.42578125" customWidth="1"/>
  </cols>
  <sheetData>
    <row r="2" spans="1:14" ht="21.95" customHeight="1" x14ac:dyDescent="0.25">
      <c r="A2" s="7" t="s">
        <v>110</v>
      </c>
      <c r="C2" s="3" t="s">
        <v>87</v>
      </c>
      <c r="E2" s="7" t="s">
        <v>32</v>
      </c>
      <c r="G2" s="3" t="s">
        <v>86</v>
      </c>
    </row>
    <row r="3" spans="1:14" ht="21.95" customHeight="1" x14ac:dyDescent="0.25">
      <c r="A3" s="7" t="s">
        <v>111</v>
      </c>
      <c r="C3" s="3" t="s">
        <v>112</v>
      </c>
      <c r="E3" s="7" t="s">
        <v>113</v>
      </c>
      <c r="G3" s="3" t="s">
        <v>114</v>
      </c>
    </row>
    <row r="4" spans="1:14" ht="21.95" customHeight="1" x14ac:dyDescent="0.25">
      <c r="A4" s="7" t="s">
        <v>115</v>
      </c>
      <c r="C4" s="3">
        <v>22</v>
      </c>
    </row>
    <row r="5" spans="1:14" ht="21.95" customHeight="1" x14ac:dyDescent="0.25">
      <c r="A5" s="7" t="s">
        <v>116</v>
      </c>
      <c r="C5" s="3" t="s">
        <v>88</v>
      </c>
    </row>
    <row r="6" spans="1:14" ht="21.95" customHeight="1" x14ac:dyDescent="0.25">
      <c r="A6" s="8" t="s">
        <v>93</v>
      </c>
      <c r="C6" s="8" t="s">
        <v>94</v>
      </c>
      <c r="E6" s="8" t="s">
        <v>95</v>
      </c>
      <c r="K6" s="8" t="s">
        <v>117</v>
      </c>
      <c r="L6" s="8"/>
      <c r="M6" s="8"/>
      <c r="N6" s="8" t="s">
        <v>102</v>
      </c>
    </row>
    <row r="7" spans="1:14" ht="24" customHeight="1" x14ac:dyDescent="0.25">
      <c r="A7" s="6">
        <f>COUNTIF(E26:I26,"P")</f>
        <v>5</v>
      </c>
      <c r="C7" s="6">
        <f>COUNTIF(E26:I26,"F")</f>
        <v>0</v>
      </c>
      <c r="E7" s="6">
        <f>SUM(N7,-A7,-C7)</f>
        <v>0</v>
      </c>
      <c r="K7" s="6">
        <f>COUNTIF(E25:I25,"N")</f>
        <v>5</v>
      </c>
      <c r="L7" s="6">
        <f>COUNTIF(E25:I25,"A")</f>
        <v>0</v>
      </c>
      <c r="M7" s="6">
        <f>COUNTIF(E25:I25,"B")</f>
        <v>0</v>
      </c>
      <c r="N7" s="6">
        <f>COUNTA(E9:I9)</f>
        <v>5</v>
      </c>
    </row>
    <row r="8" spans="1:14" ht="9.9499999999999993" customHeight="1" x14ac:dyDescent="0.25"/>
    <row r="9" spans="1:14" ht="24" customHeight="1" x14ac:dyDescent="0.25">
      <c r="E9" s="2" t="s">
        <v>118</v>
      </c>
      <c r="F9" s="2" t="s">
        <v>119</v>
      </c>
      <c r="G9" s="2" t="s">
        <v>120</v>
      </c>
      <c r="H9" s="2" t="s">
        <v>121</v>
      </c>
      <c r="I9" s="2" t="s">
        <v>122</v>
      </c>
    </row>
    <row r="10" spans="1:14" ht="21.95" customHeight="1" x14ac:dyDescent="0.25">
      <c r="A10" s="2" t="s">
        <v>134</v>
      </c>
      <c r="B10" s="2" t="s">
        <v>135</v>
      </c>
      <c r="D10" s="2" t="s">
        <v>136</v>
      </c>
      <c r="E10" s="2"/>
      <c r="F10" s="2"/>
      <c r="G10" s="2"/>
      <c r="H10" s="2"/>
      <c r="I10" s="2"/>
    </row>
    <row r="12" spans="1:14" ht="21.95" customHeight="1" x14ac:dyDescent="0.25">
      <c r="A12" s="6"/>
      <c r="B12" s="7" t="s">
        <v>345</v>
      </c>
      <c r="C12" s="6"/>
      <c r="D12" s="6"/>
      <c r="E12" s="6"/>
      <c r="F12" s="6"/>
      <c r="G12" s="6"/>
      <c r="H12" s="6"/>
      <c r="I12" s="6"/>
    </row>
    <row r="13" spans="1:14" ht="21" customHeight="1" x14ac:dyDescent="0.25">
      <c r="A13" s="3"/>
      <c r="B13" s="3"/>
      <c r="C13" s="3"/>
      <c r="D13" s="3" t="s">
        <v>346</v>
      </c>
      <c r="E13" s="9" t="s">
        <v>139</v>
      </c>
      <c r="F13" s="9"/>
      <c r="G13" s="9"/>
      <c r="H13" s="9" t="s">
        <v>139</v>
      </c>
      <c r="I13" s="9"/>
    </row>
    <row r="14" spans="1:14" ht="21" customHeight="1" x14ac:dyDescent="0.25">
      <c r="A14" s="3"/>
      <c r="B14" s="3"/>
      <c r="C14" s="3"/>
      <c r="D14" s="3" t="s">
        <v>347</v>
      </c>
      <c r="E14" s="9"/>
      <c r="F14" s="9" t="s">
        <v>139</v>
      </c>
      <c r="G14" s="9"/>
      <c r="H14" s="9" t="s">
        <v>139</v>
      </c>
      <c r="I14" s="9" t="s">
        <v>139</v>
      </c>
    </row>
    <row r="15" spans="1:14" ht="21" customHeight="1" x14ac:dyDescent="0.25">
      <c r="A15" s="3"/>
      <c r="B15" s="3"/>
      <c r="C15" s="3"/>
      <c r="D15" s="3" t="s">
        <v>348</v>
      </c>
      <c r="E15" s="9"/>
      <c r="F15" s="9"/>
      <c r="G15" s="9"/>
      <c r="H15" s="9"/>
      <c r="I15" s="9" t="s">
        <v>139</v>
      </c>
    </row>
    <row r="16" spans="1:14" ht="21" customHeight="1" x14ac:dyDescent="0.25">
      <c r="A16" s="3"/>
      <c r="B16" s="3"/>
      <c r="C16" s="3"/>
      <c r="D16" s="3" t="s">
        <v>349</v>
      </c>
      <c r="E16" s="9"/>
      <c r="F16" s="9"/>
      <c r="G16" s="9" t="s">
        <v>139</v>
      </c>
      <c r="H16" s="9"/>
      <c r="I16" s="9"/>
    </row>
    <row r="18" spans="1:9" ht="24" customHeight="1" x14ac:dyDescent="0.25">
      <c r="A18" s="2" t="s">
        <v>159</v>
      </c>
      <c r="B18" s="4" t="s">
        <v>160</v>
      </c>
      <c r="C18" s="2"/>
      <c r="D18" s="2"/>
      <c r="E18" s="2"/>
      <c r="F18" s="2"/>
      <c r="G18" s="2"/>
      <c r="H18" s="2"/>
      <c r="I18" s="2"/>
    </row>
    <row r="19" spans="1:9" ht="21" customHeight="1" x14ac:dyDescent="0.25">
      <c r="A19" s="3"/>
      <c r="B19" s="3"/>
      <c r="C19" s="3"/>
      <c r="D19" s="3" t="s">
        <v>350</v>
      </c>
      <c r="E19" s="9" t="s">
        <v>139</v>
      </c>
      <c r="F19" s="9"/>
      <c r="G19" s="9"/>
      <c r="H19" s="9"/>
      <c r="I19" s="9"/>
    </row>
    <row r="20" spans="1:9" ht="21" customHeight="1" x14ac:dyDescent="0.25">
      <c r="A20" s="3"/>
      <c r="B20" s="3"/>
      <c r="C20" s="3"/>
      <c r="D20" s="3" t="s">
        <v>351</v>
      </c>
      <c r="E20" s="9"/>
      <c r="F20" s="9" t="s">
        <v>139</v>
      </c>
      <c r="G20" s="9"/>
      <c r="H20" s="9"/>
      <c r="I20" s="9"/>
    </row>
    <row r="21" spans="1:9" ht="21" customHeight="1" x14ac:dyDescent="0.25">
      <c r="A21" s="3"/>
      <c r="B21" s="3"/>
      <c r="C21" s="3"/>
      <c r="D21" s="3" t="s">
        <v>352</v>
      </c>
      <c r="E21" s="9"/>
      <c r="F21" s="9"/>
      <c r="G21" s="9" t="s">
        <v>139</v>
      </c>
      <c r="H21" s="9"/>
      <c r="I21" s="9"/>
    </row>
    <row r="22" spans="1:9" ht="21" customHeight="1" x14ac:dyDescent="0.25">
      <c r="A22" s="3"/>
      <c r="B22" s="3"/>
      <c r="C22" s="3"/>
      <c r="D22" s="3" t="s">
        <v>353</v>
      </c>
      <c r="E22" s="9"/>
      <c r="F22" s="9"/>
      <c r="G22" s="9"/>
      <c r="H22" s="9" t="s">
        <v>139</v>
      </c>
      <c r="I22" s="9"/>
    </row>
    <row r="23" spans="1:9" ht="21" customHeight="1" x14ac:dyDescent="0.25">
      <c r="A23" s="3"/>
      <c r="B23" s="3"/>
      <c r="C23" s="3"/>
      <c r="D23" s="3" t="s">
        <v>354</v>
      </c>
      <c r="E23" s="9"/>
      <c r="F23" s="9"/>
      <c r="G23" s="9"/>
      <c r="H23" s="9"/>
      <c r="I23" s="9" t="s">
        <v>139</v>
      </c>
    </row>
    <row r="25" spans="1:9" ht="23.1" customHeight="1" x14ac:dyDescent="0.25">
      <c r="A25" s="2" t="s">
        <v>173</v>
      </c>
      <c r="B25" s="4" t="s">
        <v>174</v>
      </c>
      <c r="C25" s="4"/>
      <c r="D25" s="4"/>
      <c r="E25" s="2" t="s">
        <v>99</v>
      </c>
      <c r="F25" s="2" t="s">
        <v>99</v>
      </c>
      <c r="G25" s="2" t="s">
        <v>99</v>
      </c>
      <c r="H25" s="2" t="s">
        <v>99</v>
      </c>
      <c r="I25" s="2" t="s">
        <v>99</v>
      </c>
    </row>
    <row r="26" spans="1:9" ht="23.1" customHeight="1" x14ac:dyDescent="0.25">
      <c r="A26" s="3"/>
      <c r="B26" s="10" t="s">
        <v>175</v>
      </c>
      <c r="C26" s="3"/>
      <c r="D26" s="3"/>
      <c r="E26" s="11" t="s">
        <v>176</v>
      </c>
      <c r="F26" s="11" t="s">
        <v>176</v>
      </c>
      <c r="G26" s="11" t="s">
        <v>176</v>
      </c>
      <c r="H26" s="11" t="s">
        <v>176</v>
      </c>
      <c r="I26" s="11" t="s">
        <v>176</v>
      </c>
    </row>
    <row r="27" spans="1:9" ht="21" customHeight="1" x14ac:dyDescent="0.25">
      <c r="A27" s="3"/>
      <c r="B27" s="3" t="s">
        <v>177</v>
      </c>
      <c r="C27" s="3"/>
      <c r="D27" s="3"/>
      <c r="E27" s="12" t="s">
        <v>11</v>
      </c>
      <c r="F27" s="12" t="s">
        <v>11</v>
      </c>
      <c r="G27" s="12" t="s">
        <v>11</v>
      </c>
      <c r="H27" s="12" t="s">
        <v>11</v>
      </c>
      <c r="I27" s="12" t="s">
        <v>11</v>
      </c>
    </row>
    <row r="28" spans="1:9" ht="21" customHeight="1" x14ac:dyDescent="0.25">
      <c r="A28" s="3"/>
      <c r="B28" s="3" t="s">
        <v>178</v>
      </c>
      <c r="C28" s="3"/>
      <c r="D28" s="3"/>
      <c r="E28" s="5"/>
      <c r="F28" s="5"/>
      <c r="G28" s="5"/>
      <c r="H28" s="5"/>
      <c r="I28"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FunctionList</vt:lpstr>
      <vt:lpstr>Test Report</vt:lpstr>
      <vt:lpstr>F_AUTH_REG</vt:lpstr>
      <vt:lpstr>F_AUTH_LOGIN</vt:lpstr>
      <vt:lpstr>F_WAL_DEP</vt:lpstr>
      <vt:lpstr>F_RENT_CALC</vt:lpstr>
      <vt:lpstr>F_ADM_PROD</vt:lpstr>
      <vt:lpstr>F_REF_EXT</vt:lpstr>
      <vt:lpstr>F_AUTO_PASS</vt:lpstr>
      <vt:lpstr>F_AUTH_CHG_PWD</vt:lpstr>
      <vt:lpstr>F_CRM_SYNC</vt:lpstr>
      <vt:lpstr>F_FAV_SEP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Quân Quân</cp:lastModifiedBy>
  <dcterms:created xsi:type="dcterms:W3CDTF">2026-09-16T13:29:37Z</dcterms:created>
  <dcterms:modified xsi:type="dcterms:W3CDTF">2026-10-02T07:43:02Z</dcterms:modified>
</cp:coreProperties>
</file>