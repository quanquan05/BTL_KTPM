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Login" sheetId="3" state="visible" r:id="rId3"/>
    <sheet xmlns:r="http://schemas.openxmlformats.org/officeDocument/2006/relationships" name="Register" sheetId="4" state="visible" r:id="rId4"/>
    <sheet xmlns:r="http://schemas.openxmlformats.org/officeDocument/2006/relationships" name="Wallet" sheetId="5" state="visible" r:id="rId5"/>
    <sheet xmlns:r="http://schemas.openxmlformats.org/officeDocument/2006/relationships" name="Rental" sheetId="6" state="visible" r:id="rId6"/>
    <sheet xmlns:r="http://schemas.openxmlformats.org/officeDocument/2006/relationships" name="Timer" sheetId="7" state="visible" r:id="rId7"/>
    <sheet xmlns:r="http://schemas.openxmlformats.org/officeDocument/2006/relationships" name="Refund" sheetId="8" state="visible" r:id="rId8"/>
    <sheet xmlns:r="http://schemas.openxmlformats.org/officeDocument/2006/relationships" name="Product" sheetId="9" state="visible" r:id="rId9"/>
    <sheet xmlns:r="http://schemas.openxmlformats.org/officeDocument/2006/relationships" name="Customer" sheetId="10" state="visible" r:id="rId10"/>
    <sheet xmlns:r="http://schemas.openxmlformats.org/officeDocument/2006/relationships" name="Favorites" sheetId="11" state="visible" r:id="rId11"/>
    <sheet xmlns:r="http://schemas.openxmlformats.org/officeDocument/2006/relationships" name="ChangePass" sheetId="12" state="visible" r:id="rId12"/>
    <sheet xmlns:r="http://schemas.openxmlformats.org/officeDocument/2006/relationships" name="Test Report" sheetId="13" state="visible" r:id="rId13"/>
    <sheet xmlns:r="http://schemas.openxmlformats.org/officeDocument/2006/relationships" name="Requrirement" sheetId="14" state="visible" r:id="rId1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Tahoma"/>
      <b val="1"/>
      <color rgb="00000000"/>
      <sz val="20"/>
    </font>
    <font>
      <name val="Tahoma"/>
      <b val="1"/>
      <color rgb="00993300"/>
      <sz val="10"/>
    </font>
    <font>
      <name val="Tahoma"/>
      <color rgb="00008000"/>
      <sz val="10"/>
    </font>
    <font>
      <name val="Tahoma"/>
      <color rgb="00000000"/>
      <sz val="9.5"/>
    </font>
    <font>
      <name val="Tahoma"/>
      <b val="1"/>
      <color rgb="00FFFFFF"/>
      <sz val="10"/>
    </font>
    <font>
      <name val="Tahoma"/>
      <i val="1"/>
      <color rgb="00718096"/>
      <sz val="9"/>
    </font>
    <font>
      <name val="Tahoma"/>
      <b val="1"/>
      <color rgb="00000000"/>
      <sz val="10"/>
    </font>
    <font>
      <name val="Tahoma"/>
      <b val="1"/>
      <color rgb="000000FF"/>
      <sz val="10"/>
    </font>
    <font>
      <name val="Tahoma"/>
      <b val="1"/>
      <color rgb="00000080"/>
      <sz val="10"/>
    </font>
    <font>
      <name val="Tahoma"/>
      <b val="1"/>
      <color rgb="0022543D"/>
      <sz val="9.5"/>
    </font>
    <font>
      <name val="Tahoma"/>
      <b val="1"/>
      <sz val="11"/>
    </font>
    <font>
      <name val="Tahoma"/>
      <b val="1"/>
      <color rgb="00000080"/>
      <sz val="11"/>
    </font>
    <font>
      <name val="Tahoma"/>
      <b val="1"/>
      <color rgb="00000080"/>
      <sz val="9.5"/>
    </font>
  </fonts>
  <fills count="5">
    <fill>
      <patternFill/>
    </fill>
    <fill>
      <patternFill patternType="gray125"/>
    </fill>
    <fill>
      <patternFill patternType="solid">
        <fgColor rgb="00000080"/>
        <bgColor rgb="00000080"/>
      </patternFill>
    </fill>
    <fill>
      <patternFill patternType="solid">
        <fgColor rgb="00EDF2F7"/>
        <bgColor rgb="00EDF2F7"/>
      </patternFill>
    </fill>
    <fill>
      <patternFill patternType="solid">
        <fgColor rgb="00C6F6D5"/>
        <bgColor rgb="00C6F6D5"/>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2" fillId="0" borderId="0" pivotButton="0" quotePrefix="0" xfId="0"/>
    <xf numFmtId="0" fontId="5" fillId="2" borderId="1" applyAlignment="1" pivotButton="0" quotePrefix="0" xfId="0">
      <alignment horizontal="center" vertical="center"/>
    </xf>
    <xf numFmtId="0" fontId="0" fillId="0" borderId="1"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0" borderId="1" pivotButton="0" quotePrefix="0" xfId="0"/>
    <xf numFmtId="0" fontId="6" fillId="0" borderId="0" pivotButton="0" quotePrefix="0" xfId="0"/>
    <xf numFmtId="0" fontId="2" fillId="0" borderId="1" pivotButton="0" quotePrefix="0" xfId="0"/>
    <xf numFmtId="0" fontId="3" fillId="0" borderId="1" pivotButton="0" quotePrefix="0" xfId="0"/>
    <xf numFmtId="0" fontId="0" fillId="0" borderId="1" applyAlignment="1" pivotButton="0" quotePrefix="0" xfId="0">
      <alignment horizontal="left" vertical="top" wrapText="1"/>
    </xf>
    <xf numFmtId="0" fontId="7" fillId="0" borderId="0" pivotButton="0" quotePrefix="0" xfId="0"/>
    <xf numFmtId="0" fontId="4" fillId="0" borderId="0" applyAlignment="1" pivotButton="0" quotePrefix="0" xfId="0">
      <alignment horizontal="left" vertical="center" wrapText="1"/>
    </xf>
    <xf numFmtId="0" fontId="4" fillId="0" borderId="0" pivotButton="0" quotePrefix="0" xfId="0"/>
    <xf numFmtId="0" fontId="8" fillId="0" borderId="1" applyAlignment="1" pivotButton="0" quotePrefix="0" xfId="0">
      <alignment horizontal="center" vertical="center"/>
    </xf>
    <xf numFmtId="0" fontId="9" fillId="3" borderId="1" pivotButton="0" quotePrefix="0" xfId="0"/>
    <xf numFmtId="0" fontId="4" fillId="0" borderId="0" applyAlignment="1" pivotButton="0" quotePrefix="0" xfId="0">
      <alignment horizontal="center" vertical="top"/>
    </xf>
    <xf numFmtId="0" fontId="4" fillId="0" borderId="1" applyAlignment="1" pivotButton="0" quotePrefix="0" xfId="0">
      <alignment horizontal="left" vertical="top" wrapText="1"/>
    </xf>
    <xf numFmtId="0" fontId="10" fillId="4" borderId="1" applyAlignment="1" pivotButton="0" quotePrefix="0" xfId="0">
      <alignment horizontal="center" vertical="top"/>
    </xf>
    <xf numFmtId="0" fontId="4" fillId="0" borderId="1" applyAlignment="1" pivotButton="0" quotePrefix="0" xfId="0">
      <alignment horizontal="center" vertical="top"/>
    </xf>
    <xf numFmtId="0" fontId="0" fillId="0" borderId="1" applyAlignment="1" pivotButton="0" quotePrefix="0" xfId="0">
      <alignment horizontal="center" vertical="center"/>
    </xf>
    <xf numFmtId="0" fontId="8" fillId="0" borderId="0" applyAlignment="1" pivotButton="0" quotePrefix="0" xfId="0">
      <alignment horizontal="center" vertical="center"/>
    </xf>
    <xf numFmtId="0" fontId="11" fillId="0" borderId="0" pivotButton="0" quotePrefix="0" xfId="0"/>
    <xf numFmtId="0" fontId="12" fillId="0" borderId="0" pivotButton="0" quotePrefix="0" xfId="0"/>
    <xf numFmtId="0" fontId="9" fillId="0" borderId="1" applyAlignment="1" pivotButton="0" quotePrefix="0" xfId="0">
      <alignment horizontal="center" vertical="center"/>
    </xf>
    <xf numFmtId="0" fontId="1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3</row>
      <rowOff>0</rowOff>
    </from>
    <ext cx="28575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H14"/>
  <sheetViews>
    <sheetView workbookViewId="0">
      <selection activeCell="A1" sqref="A1"/>
    </sheetView>
  </sheetViews>
  <sheetFormatPr baseColWidth="8" defaultRowHeight="15"/>
  <cols>
    <col width="3" customWidth="1" min="1" max="1"/>
    <col width="18" customWidth="1" min="2" max="2"/>
    <col width="14" customWidth="1" min="3" max="3"/>
    <col width="34" customWidth="1" min="4" max="4"/>
    <col width="12" customWidth="1" min="5" max="5"/>
    <col width="22" customWidth="1" min="6" max="6"/>
    <col width="38" customWidth="1" min="7" max="7"/>
    <col width="32" customWidth="1" min="8" max="8"/>
  </cols>
  <sheetData>
    <row r="2" ht="45" customHeight="1">
      <c r="B2" s="1" t="inlineStr">
        <is>
          <t>TEST CASE</t>
        </is>
      </c>
    </row>
    <row r="4" ht="20" customHeight="1">
      <c r="B4" s="2" t="inlineStr">
        <is>
          <t>Project Name</t>
        </is>
      </c>
      <c r="C4" s="3" t="inlineStr">
        <is>
          <t>GameRent - Website Cho Thuê Tài Khoản Game Tự Động 24/7</t>
        </is>
      </c>
      <c r="D4" s="3" t="n"/>
      <c r="E4" s="3" t="n"/>
      <c r="F4" s="2" t="inlineStr">
        <is>
          <t>Creator</t>
        </is>
      </c>
      <c r="G4" s="4" t="inlineStr">
        <is>
          <t>Nhóm 15 (Lê Minh Quân, Lê Hải Đăng, Lê Xuân Đạt, Lê Thanh Tùng)</t>
        </is>
      </c>
      <c r="H4" s="4" t="n"/>
    </row>
    <row r="5" ht="20" customHeight="1">
      <c r="B5" s="2" t="inlineStr">
        <is>
          <t>Project Code</t>
        </is>
      </c>
      <c r="C5" s="3" t="inlineStr">
        <is>
          <t>GAMERENT</t>
        </is>
      </c>
      <c r="D5" s="3" t="n"/>
      <c r="E5" s="3" t="n"/>
      <c r="F5" s="2" t="inlineStr">
        <is>
          <t>Reviewer/Approver</t>
        </is>
      </c>
      <c r="G5" s="4" t="inlineStr">
        <is>
          <t>ThS. Phạm Thị Loan</t>
        </is>
      </c>
      <c r="H5" s="4" t="n"/>
    </row>
    <row r="6" ht="20" customHeight="1">
      <c r="B6" s="2" t="inlineStr">
        <is>
          <t>Document Code</t>
        </is>
      </c>
      <c r="C6" s="3">
        <f>C5&amp;"_"&amp;"ITC"&amp;"_"&amp;"v1.0"</f>
        <v/>
      </c>
      <c r="D6" s="3" t="n"/>
      <c r="E6" s="3" t="n"/>
      <c r="F6" s="2" t="inlineStr">
        <is>
          <t>Issue Date</t>
        </is>
      </c>
      <c r="G6" s="4" t="inlineStr">
        <is>
          <t>26/09/2026</t>
        </is>
      </c>
      <c r="H6" s="4" t="n"/>
    </row>
    <row r="7" ht="20" customHeight="1">
      <c r="B7" s="2" t="n"/>
      <c r="C7" s="3" t="n"/>
      <c r="D7" s="3" t="n"/>
      <c r="E7" s="3" t="n"/>
      <c r="F7" s="2" t="inlineStr">
        <is>
          <t>Version</t>
        </is>
      </c>
      <c r="G7" s="4" t="inlineStr">
        <is>
          <t>1.0</t>
        </is>
      </c>
      <c r="H7" s="4" t="n"/>
    </row>
    <row r="10" ht="22" customHeight="1">
      <c r="B10" s="5" t="inlineStr">
        <is>
          <t>Record of change</t>
        </is>
      </c>
    </row>
    <row r="11" ht="24" customHeight="1">
      <c r="B11" s="6" t="inlineStr">
        <is>
          <t>Effective Date</t>
        </is>
      </c>
      <c r="C11" s="6" t="inlineStr">
        <is>
          <t>Version</t>
        </is>
      </c>
      <c r="D11" s="6" t="inlineStr">
        <is>
          <t>Change Item</t>
        </is>
      </c>
      <c r="E11" s="6" t="inlineStr">
        <is>
          <t>*A,D,M</t>
        </is>
      </c>
      <c r="F11" s="6" t="inlineStr">
        <is>
          <t>Change description</t>
        </is>
      </c>
      <c r="G11" s="7" t="n"/>
      <c r="H11" s="6" t="inlineStr">
        <is>
          <t>Reference</t>
        </is>
      </c>
    </row>
    <row r="12" ht="42" customHeight="1">
      <c r="B12" s="8" t="inlineStr">
        <is>
          <t>10/09/2026</t>
        </is>
      </c>
      <c r="C12" s="8" t="inlineStr">
        <is>
          <t>0.1</t>
        </is>
      </c>
      <c r="D12" s="9" t="inlineStr">
        <is>
          <t>Khởi tạo tài liệu và thiết kế ca kiểm thử</t>
        </is>
      </c>
      <c r="E12" s="8" t="inlineStr">
        <is>
          <t>A</t>
        </is>
      </c>
      <c r="F12" s="9" t="inlineStr">
        <is>
          <t>Khởi tạo tài liệu đặc tả kiểm thử, thiết kế bộ ca kiểm thử cho chức năng Đăng nhập (Login) và các luồng nghiệp vụ xác thực người dùng trong dự án GameRent theo biểu mẫu chuẩn.</t>
        </is>
      </c>
      <c r="G12" s="10" t="n"/>
      <c r="H12" s="9" t="inlineStr">
        <is>
          <t>SRS GameRent v1.0, Tài liệu thiết kế hệ thống</t>
        </is>
      </c>
    </row>
    <row r="13" ht="42" customHeight="1">
      <c r="B13" s="8" t="inlineStr">
        <is>
          <t>26/09/2026</t>
        </is>
      </c>
      <c r="C13" s="8" t="inlineStr">
        <is>
          <t>1.0</t>
        </is>
      </c>
      <c r="D13" s="9" t="inlineStr">
        <is>
          <t>Hoàn thiện trọn bộ 10 phân hệ kiểm thử dự án GameRent</t>
        </is>
      </c>
      <c r="E13" s="8" t="inlineStr">
        <is>
          <t>M</t>
        </is>
      </c>
      <c r="F13" s="9" t="inlineStr">
        <is>
          <t>Cập nhật hoàn chỉnh toàn bộ 10 sheet phân hệ chi tiết (81 ca kiểm thử Validation &amp; Business logic), bảng Test case List, hình ảnh Wireframe AuthModal và Test Report liên kết công thức tự động 100% Pass.</t>
        </is>
      </c>
      <c r="G13" s="10" t="n"/>
      <c r="H13" s="9" t="inlineStr">
        <is>
          <t>Mã nguồn GameRent, Bộ kiểm thử tự động Vitest Suite, Báo cáo BTL KTPM</t>
        </is>
      </c>
    </row>
    <row r="14" ht="20" customHeight="1">
      <c r="B14" s="11" t="inlineStr">
        <is>
          <t>*A: Added, D: Deleted, M: Modified</t>
        </is>
      </c>
    </row>
  </sheetData>
  <mergeCells count="12">
    <mergeCell ref="G4:H4"/>
    <mergeCell ref="C6:E7"/>
    <mergeCell ref="F11:G11"/>
    <mergeCell ref="F12:G12"/>
    <mergeCell ref="C5:E5"/>
    <mergeCell ref="G7:H7"/>
    <mergeCell ref="G5:H5"/>
    <mergeCell ref="C4:E4"/>
    <mergeCell ref="B2:H2"/>
    <mergeCell ref="G6:H6"/>
    <mergeCell ref="F13:G13"/>
    <mergeCell ref="B6:B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8"/>
  <sheetViews>
    <sheetView workbookViewId="0">
      <selection activeCell="A1" sqref="A1"/>
    </sheetView>
  </sheetViews>
  <sheetFormatPr baseColWidth="8" defaultRowHeight="15"/>
  <cols>
    <col width="8" customWidth="1" min="2" max="2"/>
    <col width="30" customWidth="1" min="3" max="3"/>
    <col width="18" customWidth="1" min="4" max="4"/>
    <col width="50" customWidth="1" min="5" max="5"/>
    <col width="45" customWidth="1" min="6" max="6"/>
  </cols>
  <sheetData>
    <row r="1">
      <c r="D1" s="1" t="inlineStr">
        <is>
          <t>TEST CASE LIST</t>
        </is>
      </c>
    </row>
    <row r="3">
      <c r="B3" s="12" t="inlineStr">
        <is>
          <t>Project Name</t>
        </is>
      </c>
      <c r="C3" s="7" t="n"/>
      <c r="D3" s="13">
        <f>Cover!C4</f>
        <v/>
      </c>
      <c r="E3" s="7" t="n"/>
      <c r="F3" s="7" t="n"/>
    </row>
    <row r="4">
      <c r="B4" s="12" t="inlineStr">
        <is>
          <t>Project Code</t>
        </is>
      </c>
      <c r="C4" s="7" t="n"/>
      <c r="D4" s="13">
        <f>Cover!C5</f>
        <v/>
      </c>
      <c r="E4" s="7" t="n"/>
      <c r="F4" s="7" t="n"/>
    </row>
    <row r="5" ht="80" customHeight="1">
      <c r="B5" s="12" t="inlineStr">
        <is>
          <t>Test Environment Setup Description</t>
        </is>
      </c>
      <c r="C5" s="7" t="n"/>
      <c r="D5" s="14" t="inlineStr">
        <is>
          <t>Môi trường kiểm thử hệ thống &amp; phân hệ GameRent:
1. Nền tảng: Node.js v20.x, React 19.x, Vite Dev Server
2. Cơ sở dữ liệu: LocalStorage Database Engine Mock (gamerent_users, gamerent_current_user)
3. Trình duyệt: Google Chrome v120+, Microsoft Edge v120+
4. Framework tự động: Vitest Automation Suite, React Testing Library, jsdom
5. Màn hình kiểm thử: Desktop (1920x1080) và Responsive Web</t>
        </is>
      </c>
      <c r="E5" s="7" t="n"/>
      <c r="F5" s="7" t="n"/>
    </row>
    <row r="8">
      <c r="B8" s="6" t="inlineStr">
        <is>
          <t>No</t>
        </is>
      </c>
      <c r="C8" s="6" t="inlineStr">
        <is>
          <t>Function Name</t>
        </is>
      </c>
      <c r="D8" s="6" t="inlineStr">
        <is>
          <t>Sheet Name</t>
        </is>
      </c>
      <c r="E8" s="6" t="inlineStr">
        <is>
          <t>Description</t>
        </is>
      </c>
      <c r="F8" s="6" t="inlineStr">
        <is>
          <t>Pre-Condition</t>
        </is>
      </c>
    </row>
    <row r="9" ht="42" customHeight="1">
      <c r="B9" s="8" t="n">
        <v>1</v>
      </c>
      <c r="C9" s="4" t="inlineStr">
        <is>
          <t>Đăng nhập hệ thống (Login)</t>
        </is>
      </c>
      <c r="D9" s="8" t="inlineStr">
        <is>
          <t>Login</t>
        </is>
      </c>
      <c r="E9" s="9" t="inlineStr">
        <is>
          <t>Kiểm thử chức năng xác thực người dùng, kiểm tra validation email/mật khẩu, phân quyền Renter/Admin và xử lý chặn tài khoản vi phạm bị khóa (isBlocked).</t>
        </is>
      </c>
      <c r="F9" s="9" t="inlineStr">
        <is>
          <t>Hệ thống GameRent khởi chạy trên trình duyệt web, cơ sở dữ liệu tài khoản người dùng đã sẵn sàng trong LocalStorage.</t>
        </is>
      </c>
    </row>
    <row r="10" ht="42" customHeight="1">
      <c r="B10" s="8" t="n">
        <v>2</v>
      </c>
      <c r="C10" s="4" t="inlineStr">
        <is>
          <t>Đăng ký tài khoản mới (Register)</t>
        </is>
      </c>
      <c r="D10" s="8" t="inlineStr">
        <is>
          <t>Register</t>
        </is>
      </c>
      <c r="E10" s="9" t="inlineStr">
        <is>
          <t>Kiểm thử form đăng ký thành viên mới (validation họ tên, email, mật khẩu &gt;= 6 ký tự) và luồng tự động đăng nhập cấp ví 50.000 VNĐ.</t>
        </is>
      </c>
      <c r="F10" s="9" t="inlineStr">
        <is>
          <t>Trình duyệt mở modal AuthModal tại tab Đăng ký, cơ sở dữ liệu chưa tồn tại email đăng ký.</t>
        </is>
      </c>
    </row>
    <row r="11" ht="42" customHeight="1">
      <c r="B11" s="8" t="n">
        <v>3</v>
      </c>
      <c r="C11" s="4" t="inlineStr">
        <is>
          <t>Nạp tiền ví VietQR Napas247 (Deposit)</t>
        </is>
      </c>
      <c r="D11" s="8" t="inlineStr">
        <is>
          <t>Wallet</t>
        </is>
      </c>
      <c r="E11" s="9" t="inlineStr">
        <is>
          <t>Kiểm thử tích hợp nạp tiền tự động qua cổng VietQR, sinh mã QR động theo hạn mức nạp và cộng dồn số dư ví thời gian thực.</t>
        </is>
      </c>
      <c r="F11" s="9" t="inlineStr">
        <is>
          <t>Khách hàng đã đăng nhập tài khoản cá nhân, mở modal Nạp tiền trên trang Ví điện tử.</t>
        </is>
      </c>
    </row>
    <row r="12" ht="42" customHeight="1">
      <c r="B12" s="8" t="n">
        <v>4</v>
      </c>
      <c r="C12" s="4" t="inlineStr">
        <is>
          <t>Thuê tài khoản &amp; Bàn giao pass 24/7 (Rental)</t>
        </is>
      </c>
      <c r="D12" s="8" t="inlineStr">
        <is>
          <t>Rental</t>
        </is>
      </c>
      <c r="E12" s="9" t="inlineStr">
        <is>
          <t>Kiểm thử luồng kiểm tra số dư ví, trừ tiền thuê, cập nhật trạng thái kho nick và bàn giao thông tin đăng nhập in-game tức thì.</t>
        </is>
      </c>
      <c r="F12" s="9" t="inlineStr">
        <is>
          <t>Số dư ví khách hàng đủ chi trả chi phí thuê, tài khoản game đang ở trạng thái Available.</t>
        </is>
      </c>
    </row>
    <row r="13" ht="42" customHeight="1">
      <c r="B13" s="8" t="n">
        <v>5</v>
      </c>
      <c r="C13" s="4" t="inlineStr">
        <is>
          <t>Giám sát đếm ngược &amp; Gia hạn giờ chơi (Timer)</t>
        </is>
      </c>
      <c r="D13" s="8" t="inlineStr">
        <is>
          <t>Timer</t>
        </is>
      </c>
      <c r="E13" s="9" t="inlineStr">
        <is>
          <t>Kiểm thử đồng hồ đếm ngược CountdownTimer thời gian thực, hệ thống cảnh báo 3 cấp độ màu và tính năng gia hạn cộng dồn thời gian chơi.</t>
        </is>
      </c>
      <c r="F13" s="9" t="inlineStr">
        <is>
          <t>Đơn thuê đang ở trạng thái Active, phiên chơi game đang diễn ra.</t>
        </is>
      </c>
    </row>
    <row r="14" ht="42" customHeight="1">
      <c r="B14" s="8" t="n">
        <v>6</v>
      </c>
      <c r="C14" s="4" t="inlineStr">
        <is>
          <t>Trả nick sớm &amp; Khiếu nại bảo hiểm (Refund)</t>
        </is>
      </c>
      <c r="D14" s="8" t="inlineStr">
        <is>
          <t>Refund</t>
        </is>
      </c>
      <c r="E14" s="9" t="inlineStr">
        <is>
          <t>Kiểm thử chính sách hoàn tiền 50% thời gian chưa sử dụng khi trả nick sớm và quy trình Admin phê duyệt bồi hoàn 100% khi tài khoản gặp sự cố.</t>
        </is>
      </c>
      <c r="F14" s="9" t="inlineStr">
        <is>
          <t>Khách hàng đang có đơn thuê active hoặc gửi khiếu nại sự cố tài khoản trong 15 phút đầu.</t>
        </is>
      </c>
    </row>
    <row r="15" ht="42" customHeight="1">
      <c r="B15" s="8" t="n">
        <v>7</v>
      </c>
      <c r="C15" s="4" t="inlineStr">
        <is>
          <t>Quản trị thêm nick vào kho (Form UC1)</t>
        </is>
      </c>
      <c r="D15" s="8" t="inlineStr">
        <is>
          <t>Product</t>
        </is>
      </c>
      <c r="E15" s="9" t="inlineStr">
        <is>
          <t>Kiểm thử biểu mẫu Thêm mới tài khoản game chuẩn 100% tài liệu UC1_Add New Product (áp dụng BVA/EP kiểm thử giá trị biên và bảng quyết định).</t>
        </is>
      </c>
      <c r="F15" s="9" t="inlineStr">
        <is>
          <t>Người dùng đã đăng nhập với vai trò Quản trị viên (Admin), mở form thêm nick trong OverviewDashboard.</t>
        </is>
      </c>
    </row>
    <row r="16" ht="42" customHeight="1">
      <c r="B16" s="8" t="n">
        <v>8</v>
      </c>
      <c r="C16" s="4" t="inlineStr">
        <is>
          <t>Quản lý khách hàng &amp; Đồng bộ dữ liệu CRM</t>
        </is>
      </c>
      <c r="D16" s="8" t="inlineStr">
        <is>
          <t>Customer</t>
        </is>
      </c>
      <c r="E16" s="9" t="inlineStr">
        <is>
          <t>Kiểm thử tra cứu, phân trang, lọc khách hàng, cập nhật trạng thái hoạt động và đảm bảo tính nhất quán dữ liệu giữa Client và Admin.</t>
        </is>
      </c>
      <c r="F16" s="9" t="inlineStr">
        <is>
          <t>Tài khoản Admin đã đăng nhập, danh mục khách hàng đã được nạp từ cơ sở dữ liệu.</t>
        </is>
      </c>
    </row>
    <row r="17" ht="42" customHeight="1">
      <c r="B17" s="8" t="n">
        <v>9</v>
      </c>
      <c r="C17" s="4" t="inlineStr">
        <is>
          <t>Phân tách danh sách yêu thích độc lập (Favorites)</t>
        </is>
      </c>
      <c r="D17" s="8" t="inlineStr">
        <is>
          <t>Favorites</t>
        </is>
      </c>
      <c r="E17" s="9" t="inlineStr">
        <is>
          <t>Kiểm thử cơ chế lưu trữ danh sách tài khoản game yêu thích phân tách độc lập theo định danh từng tài khoản trong LocalStorage.</t>
        </is>
      </c>
      <c r="F17" s="9" t="inlineStr">
        <is>
          <t>Nhiều tài khoản người dùng khác nhau cùng thực hiện thao tác lưu tài khoản yêu thích trên cùng một trình duyệt.</t>
        </is>
      </c>
    </row>
    <row r="18" ht="42" customHeight="1">
      <c r="B18" s="8" t="n">
        <v>10</v>
      </c>
      <c r="C18" s="4" t="inlineStr">
        <is>
          <t>Đổi mật khẩu người dùng (Change Password)</t>
        </is>
      </c>
      <c r="D18" s="8" t="inlineStr">
        <is>
          <t>ChangePass</t>
        </is>
      </c>
      <c r="E18" s="9" t="inlineStr">
        <is>
          <t>Kiểm thử chức năng đổi mật khẩu cá nhân, kiểm tra mật khẩu hiện tại, độ mạnh mật khẩu mới và cập nhật bảo mật an toàn.</t>
        </is>
      </c>
      <c r="F18" s="9" t="inlineStr">
        <is>
          <t>Người dùng đang đăng nhập hệ thống, mở trang Cài đặt (Settings).</t>
        </is>
      </c>
    </row>
  </sheetData>
  <mergeCells count="6">
    <mergeCell ref="D5:F5"/>
    <mergeCell ref="B3:C3"/>
    <mergeCell ref="B5:C5"/>
    <mergeCell ref="D4:F4"/>
    <mergeCell ref="D3:F3"/>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I22"/>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Login</t>
        </is>
      </c>
    </row>
    <row r="3" ht="35" customHeight="1">
      <c r="A3" s="5" t="inlineStr">
        <is>
          <t>Test requirement</t>
        </is>
      </c>
      <c r="B3" s="16" t="inlineStr">
        <is>
          <t>Kiểm thử chức năng Đăng nhập hệ thống (AuthModal): kiểm tra validation form email/mật khẩu, xác thực thông tin đăng nhập, phân quyền Renter/Admin và xử lý chặn tài khoản vi phạm bị khóa.</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[Login-01]</t>
        </is>
      </c>
      <c r="B10" s="21" t="inlineStr">
        <is>
          <t>Không nhập email</t>
        </is>
      </c>
      <c r="C10" s="21" t="inlineStr">
        <is>
          <t>Hệ thống mở trang chủ GameRent, modal Đăng nhập (AuthModal) đang hiển thị.</t>
        </is>
      </c>
      <c r="D10" s="21" t="inlineStr">
        <is>
          <t>1. Nhập thông tin:
- Email: bỏ trống
- Password: nhập '123456'
2. Click button 'Đăng nhập'.</t>
        </is>
      </c>
      <c r="E10" s="21" t="inlineStr">
        <is>
          <t>1. Hệ thống chặn gửi form.
2. Hiển thị thông báo lỗi: "Email không được để trống".</t>
        </is>
      </c>
      <c r="F10" s="21" t="inlineStr">
        <is>
          <t>Form giữ nguyên trạng thái, con trỏ tự động focus vào trường Email.</t>
        </is>
      </c>
      <c r="G10" s="22" t="inlineStr">
        <is>
          <t>Pass</t>
        </is>
      </c>
      <c r="H10" s="23" t="inlineStr">
        <is>
          <t>26/09/2026</t>
        </is>
      </c>
      <c r="I10" s="21" t="inlineStr">
        <is>
          <t>Đã tự động hóa trong vitest auth.test.js</t>
        </is>
      </c>
    </row>
    <row r="11">
      <c r="A11" s="20" t="inlineStr">
        <is>
          <t>[Login-02]</t>
        </is>
      </c>
      <c r="B11" s="21" t="inlineStr">
        <is>
          <t>Không nhập mật khẩu</t>
        </is>
      </c>
      <c r="C11" s="21" t="inlineStr">
        <is>
          <t>Modal Đăng nhập đang hiển thị.</t>
        </is>
      </c>
      <c r="D11" s="21" t="inlineStr">
        <is>
          <t>1. Nhập thông tin:
- Email: 'hung.nguyen@gmail.com'
- Password: bỏ trống
2. Click button 'Đăng nhập'.</t>
        </is>
      </c>
      <c r="E11" s="21" t="inlineStr">
        <is>
          <t>1. Hệ thống chặn gửi form.
2. Hiển thị thông báo lỗi: "Mật khẩu không được để trống".</t>
        </is>
      </c>
      <c r="F11" s="21" t="inlineStr">
        <is>
          <t>Form giữ nguyên dữ liệu email đã nhập, con trỏ focus vào trường Password.</t>
        </is>
      </c>
      <c r="G11" s="22" t="inlineStr">
        <is>
          <t>Pass</t>
        </is>
      </c>
      <c r="H11" s="23" t="inlineStr">
        <is>
          <t>26/09/2026</t>
        </is>
      </c>
      <c r="I11" s="21" t="inlineStr">
        <is>
          <t>Đã tự động hóa trong vitest auth.test.js</t>
        </is>
      </c>
    </row>
    <row r="12">
      <c r="A12" s="20" t="inlineStr">
        <is>
          <t>[Login-03]</t>
        </is>
      </c>
      <c r="B12" s="21" t="inlineStr">
        <is>
          <t>Bỏ trống cả email và mật khẩu</t>
        </is>
      </c>
      <c r="C12" s="21" t="inlineStr">
        <is>
          <t>Modal Đăng nhập đang hiển thị.</t>
        </is>
      </c>
      <c r="D12" s="21" t="inlineStr">
        <is>
          <t>1. Để trống cả trường Email và Password.
2. Click button 'Đăng nhập'.</t>
        </is>
      </c>
      <c r="E12" s="21" t="inlineStr">
        <is>
          <t>1. Hệ thống chặn gửi form.
2. Hiển thị thông báo lỗi: "Email không được để trống".</t>
        </is>
      </c>
      <c r="F12" s="21" t="inlineStr">
        <is>
          <t>Form không submit, focus vào trường Email.</t>
        </is>
      </c>
      <c r="G12" s="22" t="inlineStr">
        <is>
          <t>Pass</t>
        </is>
      </c>
      <c r="H12" s="23" t="inlineStr">
        <is>
          <t>26/09/2026</t>
        </is>
      </c>
      <c r="I12" s="21" t="inlineStr">
        <is>
          <t>Đã tự động hóa trong vitest auth.test.js</t>
        </is>
      </c>
    </row>
    <row r="13">
      <c r="A13" s="20" t="inlineStr">
        <is>
          <t>[Login-04]</t>
        </is>
      </c>
      <c r="B13" s="21" t="inlineStr">
        <is>
          <t>Nhập email không đúng định dạng</t>
        </is>
      </c>
      <c r="C13" s="21" t="inlineStr">
        <is>
          <t>Modal Đăng nhập đang hiển thị.</t>
        </is>
      </c>
      <c r="D13" s="21" t="inlineStr">
        <is>
          <t>1. Nhập thông tin:
- Email: 'gamerent.user.vn' (thiếu @)
- Password: 'password123'
2. Click button 'Đăng nhập'.</t>
        </is>
      </c>
      <c r="E13" s="21" t="inlineStr">
        <is>
          <t>1. Hệ thống chặn submit form.
2. Trình duyệt hiển thị cảnh báo định dạng Email hợp lệ trên ô nhập liệu HTML5.</t>
        </is>
      </c>
      <c r="F13" s="21" t="inlineStr">
        <is>
          <t>Form giữ nguyên để người dùng sửa lại địa chỉ Email.</t>
        </is>
      </c>
      <c r="G13" s="22" t="inlineStr">
        <is>
          <t>Pass</t>
        </is>
      </c>
      <c r="H13" s="23" t="inlineStr">
        <is>
          <t>26/09/2026</t>
        </is>
      </c>
      <c r="I13" s="21" t="inlineStr">
        <is>
          <t>Validation định dạng RFC 5322</t>
        </is>
      </c>
    </row>
    <row r="14">
      <c r="A14" s="20" t="inlineStr">
        <is>
          <t>[Login-05]</t>
        </is>
      </c>
      <c r="B14" s="21" t="inlineStr">
        <is>
          <t>Nhập mật khẩu dưới 6 ký tự</t>
        </is>
      </c>
      <c r="C14" s="21" t="inlineStr">
        <is>
          <t>Modal Đăng nhập đang hiển thị.</t>
        </is>
      </c>
      <c r="D14" s="21" t="inlineStr">
        <is>
          <t>1. Nhập thông tin:
- Email: 'hung.nguyen@gmail.com'
- Password: '123' (3 ký tự, dưới biên 6)
2. Click button 'Đăng nhập'.</t>
        </is>
      </c>
      <c r="E14" s="21" t="inlineStr">
        <is>
          <t>1. Hệ thống kiểm tra và báo lỗi: "Mật khẩu không chính xác." hoặc yêu cầu mật khẩu tối thiểu 6 ký tự.</t>
        </is>
      </c>
      <c r="F14" s="21" t="inlineStr">
        <is>
          <t>Form không đăng nhập, giữ nguyên để nhập lại.</t>
        </is>
      </c>
      <c r="G14" s="22" t="inlineStr">
        <is>
          <t>Pass</t>
        </is>
      </c>
      <c r="H14" s="23" t="inlineStr">
        <is>
          <t>26/09/2026</t>
        </is>
      </c>
      <c r="I14" s="21" t="inlineStr">
        <is>
          <t>BVA kiểm thử giá trị biên</t>
        </is>
      </c>
    </row>
    <row r="15">
      <c r="A15" s="7" t="inlineStr"/>
      <c r="B15" s="19" t="inlineStr">
        <is>
          <t>Check Business</t>
        </is>
      </c>
      <c r="C15" s="7" t="n"/>
      <c r="D15" s="7" t="n"/>
      <c r="E15" s="7" t="n"/>
      <c r="F15" s="7" t="n"/>
      <c r="G15" s="7" t="n"/>
      <c r="H15" s="7" t="n"/>
      <c r="I15" s="7" t="n"/>
    </row>
    <row r="16">
      <c r="A16" s="20" t="inlineStr">
        <is>
          <t>[Login-06]</t>
        </is>
      </c>
      <c r="B16" s="21" t="inlineStr">
        <is>
          <t>Kiểm tra đăng nhập khi nhập đúng tài khoản Khách hàng (Renter)</t>
        </is>
      </c>
      <c r="C16" s="21" t="inlineStr">
        <is>
          <t>Hệ thống tồn tại tài khoản khách hàng:
email: hung.nguyen@gmail.com
password: tester123
isBlocked: false</t>
        </is>
      </c>
      <c r="D16" s="21" t="inlineStr">
        <is>
          <t>1. Nhập thông tin:
- Email: hung.nguyen@gmail.com
- Password: tester123
2. Click button 'Đăng nhập'.</t>
        </is>
      </c>
      <c r="E16" s="21" t="inlineStr">
        <is>
          <t>1. Đăng nhập vào hệ thống thành công, đóng modal AuthModal.
2. Header cập nhật hiển thị tên "Nguyễn Văn Hùng", avatar và số dư ví.
3. Lưu phiên đăng nhập vào LocalStorage (gamerent_current_user).</t>
        </is>
      </c>
      <c r="F16" s="21" t="inlineStr">
        <is>
          <t>Người dùng duy trì trạng thái đăng nhập với vai trò 'renter'.</t>
        </is>
      </c>
      <c r="G16" s="22" t="inlineStr">
        <is>
          <t>Pass</t>
        </is>
      </c>
      <c r="H16" s="23" t="inlineStr">
        <is>
          <t>26/09/2026</t>
        </is>
      </c>
      <c r="I16" s="21" t="inlineStr">
        <is>
          <t>Normal case - Đã kiểm thử tự động</t>
        </is>
      </c>
    </row>
    <row r="17">
      <c r="A17" s="20" t="inlineStr">
        <is>
          <t>[Login-07]</t>
        </is>
      </c>
      <c r="B17" s="21" t="inlineStr">
        <is>
          <t>Kiểm tra đăng nhập khi nhập đúng tài khoản Quản trị viên (Admin)</t>
        </is>
      </c>
      <c r="C17" s="21" t="inlineStr">
        <is>
          <t>Hệ thống tồn tại tài khoản quản trị:
email: admin@gamerent.vn
password: admin123
role: admin</t>
        </is>
      </c>
      <c r="D17" s="21" t="inlineStr">
        <is>
          <t>1. Nhập thông tin:
- Email: admin@gamerent.vn
- Password: admin123
2. Click button 'Đăng nhập'.</t>
        </is>
      </c>
      <c r="E17" s="21" t="inlineStr">
        <is>
          <t>1. Đăng nhập thành công với vai trò Quản trị viên.
2. Header hiển thị tên "Quản Lý" và nút truy cập Admin Dashboard.
3. Cấp quyền truy cập quản lý kho nick, đơn thuê, duyệt khiếu nại.</t>
        </is>
      </c>
      <c r="F17" s="21" t="inlineStr">
        <is>
          <t>Người dùng có quyền hạn admin trong toàn bộ phiên làm việc.</t>
        </is>
      </c>
      <c r="G17" s="22" t="inlineStr">
        <is>
          <t>Pass</t>
        </is>
      </c>
      <c r="H17" s="23" t="inlineStr">
        <is>
          <t>26/09/2026</t>
        </is>
      </c>
      <c r="I17" s="21" t="inlineStr">
        <is>
          <t>Phân quyền RBAC chính xác</t>
        </is>
      </c>
    </row>
    <row r="18">
      <c r="A18" s="20" t="inlineStr">
        <is>
          <t>[Login-08]</t>
        </is>
      </c>
      <c r="B18" s="21" t="inlineStr">
        <is>
          <t>Kiểm tra đăng nhập khi nhập Email không tồn tại trong hệ thống</t>
        </is>
      </c>
      <c r="C18" s="21" t="inlineStr">
        <is>
          <t>Hệ thống không tồn tại tài khoản có email: nonexistent@gamerent.vn</t>
        </is>
      </c>
      <c r="D18" s="21" t="inlineStr">
        <is>
          <t>1. Nhập thông tin:
- Email: nonexistent@gamerent.vn
- Password: password123
2. Click button 'Đăng nhập'.</t>
        </is>
      </c>
      <c r="E18" s="21" t="inlineStr">
        <is>
          <t>1. Hệ thống hiển thị thông báo lỗi: "Email không tồn tại trên hệ thống.".
2. Không tạo phiên làm việc trong LocalStorage.</t>
        </is>
      </c>
      <c r="F18" s="21" t="inlineStr">
        <is>
          <t>Trạng thái người dùng vẫn là khách vãng lai (Guest).</t>
        </is>
      </c>
      <c r="G18" s="22" t="inlineStr">
        <is>
          <t>Pass</t>
        </is>
      </c>
      <c r="H18" s="23" t="inlineStr">
        <is>
          <t>26/09/2026</t>
        </is>
      </c>
      <c r="I18" s="21" t="inlineStr">
        <is>
          <t>Xác thực tài khoản không tồn tại</t>
        </is>
      </c>
    </row>
    <row r="19">
      <c r="A19" s="20" t="inlineStr">
        <is>
          <t>[Login-09]</t>
        </is>
      </c>
      <c r="B19" s="21" t="inlineStr">
        <is>
          <t>Kiểm tra đăng nhập khi nhập Mật khẩu không đúng</t>
        </is>
      </c>
      <c r="C19" s="21" t="inlineStr">
        <is>
          <t>Hệ thống tồn tại tài khoản:
email: admin@gamerent.vn
password: admin123</t>
        </is>
      </c>
      <c r="D19" s="21" t="inlineStr">
        <is>
          <t>1. Nhập thông tin:
- Email: admin@gamerent.vn
- Password: wrongpassword999
2. Click button 'Đăng nhập'.</t>
        </is>
      </c>
      <c r="E19" s="21" t="inlineStr">
        <is>
          <t>1. Hệ thống hiển thị thông báo lỗi: "Mật khẩu không chính xác.".
2. Mật khẩu sai bị từ chối, form giữ nguyên email.</t>
        </is>
      </c>
      <c r="F19" s="21" t="inlineStr">
        <is>
          <t>Người dùng không đăng nhập được.</t>
        </is>
      </c>
      <c r="G19" s="22" t="inlineStr">
        <is>
          <t>Pass</t>
        </is>
      </c>
      <c r="H19" s="23" t="inlineStr">
        <is>
          <t>26/09/2026</t>
        </is>
      </c>
      <c r="I19" s="21" t="inlineStr">
        <is>
          <t>Xác thực mật khẩu sai</t>
        </is>
      </c>
    </row>
    <row r="20">
      <c r="A20" s="20" t="inlineStr">
        <is>
          <t>[Login-10]</t>
        </is>
      </c>
      <c r="B20" s="21" t="inlineStr">
        <is>
          <t>Kiểm tra đăng nhập với Tài khoản bị khóa do vi phạm quy chế</t>
        </is>
      </c>
      <c r="C20" s="21" t="inlineStr">
        <is>
          <t>Hệ thống tồn tại tài khoản bị khóa:
email: blocked@test.com
password: 123456
isBlocked: true</t>
        </is>
      </c>
      <c r="D20" s="21" t="inlineStr">
        <is>
          <t>1. Nhập thông tin:
- Email: blocked@test.com
- Password: 123456
2. Click button 'Đăng nhập'.</t>
        </is>
      </c>
      <c r="E20" s="21" t="inlineStr">
        <is>
          <t>1. Hệ thống chặn đăng nhập.
2. Hiển thị thông báo lỗi: "Tài khoản của bạn đang bị khóa do vi phạm quy chế.".
3. Không cấp token phiên làm việc.</t>
        </is>
      </c>
      <c r="F20" s="21" t="inlineStr">
        <is>
          <t>Tài khoản bị khóa bị từ chối đăng nhập hoàn toàn.</t>
        </is>
      </c>
      <c r="G20" s="22" t="inlineStr">
        <is>
          <t>Pass</t>
        </is>
      </c>
      <c r="H20" s="23" t="inlineStr">
        <is>
          <t>26/09/2026</t>
        </is>
      </c>
      <c r="I20" s="21" t="inlineStr">
        <is>
          <t>Bảo mật và kiểm soát tài khoản vi phạm</t>
        </is>
      </c>
    </row>
    <row r="21">
      <c r="A21" s="20" t="inlineStr">
        <is>
          <t>[Login-11]</t>
        </is>
      </c>
      <c r="B21" s="21" t="inlineStr">
        <is>
          <t>Kiểm tra luồng Đăng ký tài khoản mới tự động chuyển sang Đăng nhập</t>
        </is>
      </c>
      <c r="C21" s="21" t="inlineStr">
        <is>
          <t>Người dùng chưa có tài khoản, đang mở tab Đăng ký trên AuthModal.</t>
        </is>
      </c>
      <c r="D21" s="21" t="inlineStr">
        <is>
          <t>1. Tại AuthModal, click chuyển sang tab 'Đăng ký'.
2. Nhập họ tên 'Lê Minh Quân', email 'newbie2026@gamerent.vn', mật khẩu 'pass123456', xác nhận 'pass123456'.
3. Click 'Đăng ký ngay'.</t>
        </is>
      </c>
      <c r="E21" s="21" t="inlineStr">
        <is>
          <t>1. Đăng ký thành công, hệ thống tự động đăng nhập luôn mà không bắt nhập lại.
2. Số dư ví khởi tạo được cộng ngay 50.000 VNĐ.
3. Header hiển thị tên tài khoản mới.</t>
        </is>
      </c>
      <c r="F21" s="21" t="inlineStr">
        <is>
          <t>Tài khoản mới lưu vào LocalStorage và duy trì phiên đăng nhập.</t>
        </is>
      </c>
      <c r="G21" s="22" t="inlineStr">
        <is>
          <t>Pass</t>
        </is>
      </c>
      <c r="H21" s="23" t="inlineStr">
        <is>
          <t>26/09/2026</t>
        </is>
      </c>
      <c r="I21" s="21" t="inlineStr">
        <is>
          <t>Tích hợp luồng Đăng ký ↔ Đăng nhập tự động</t>
        </is>
      </c>
    </row>
    <row r="22">
      <c r="A22" s="20" t="inlineStr">
        <is>
          <t>[Login-12]</t>
        </is>
      </c>
      <c r="B22" s="21" t="inlineStr">
        <is>
          <t>Kiểm tra chức năng Đăng xuất (Logout) và xóa phiên làm việc</t>
        </is>
      </c>
      <c r="C22" s="21" t="inlineStr">
        <is>
          <t>Người dùng đang ở trạng thái đăng nhập với tài khoản 'hung.nguyen@gmail.com'.</t>
        </is>
      </c>
      <c r="D22" s="21" t="inlineStr">
        <is>
          <t>1. Tại Header/Navbar, mở menu người dùng.
2. Click chọn 'Đăng xuất'.</t>
        </is>
      </c>
      <c r="E22" s="21" t="inlineStr">
        <is>
          <t>1. Hệ thống xóa key 'gamerent_current_user' trong LocalStorage.
2. Header chuyển về nút 'Đăng nhập / Đăng ký'.
3. Trả về trạng thái người dùng khách an toàn.</t>
        </is>
      </c>
      <c r="F22" s="21" t="inlineStr">
        <is>
          <t>Phiên làm việc kết thúc hoàn toàn.</t>
        </is>
      </c>
      <c r="G22" s="22" t="inlineStr">
        <is>
          <t>Pass</t>
        </is>
      </c>
      <c r="H22" s="23" t="inlineStr">
        <is>
          <t>26/09/2026</t>
        </is>
      </c>
      <c r="I22" s="21" t="inlineStr">
        <is>
          <t>Quản lý vòng đời phiên người dùng</t>
        </is>
      </c>
    </row>
  </sheetData>
  <mergeCells count="5">
    <mergeCell ref="B4:F4"/>
    <mergeCell ref="E6:F6"/>
    <mergeCell ref="B2:F2"/>
    <mergeCell ref="B3:F3"/>
    <mergeCell ref="E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20"/>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Register</t>
        </is>
      </c>
    </row>
    <row r="3" ht="35" customHeight="1">
      <c r="A3" s="5" t="inlineStr">
        <is>
          <t>Test requirement</t>
        </is>
      </c>
      <c r="B3" s="16" t="inlineStr">
        <is>
          <t>Kiểm thử chức năng Đăng ký tài khoản (AuthModal Register Tab): kiểm tra tính hợp lệ của họ tên, email, mật khẩu, xác nhận mật khẩu và cơ chế tự động cấp số dư ví ban đầu.</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[Register-01]</t>
        </is>
      </c>
      <c r="B10" s="21" t="inlineStr">
        <is>
          <t>Họ tên để trống</t>
        </is>
      </c>
      <c r="C10" s="21" t="inlineStr">
        <is>
          <t>Modal mở tab Đăng ký.</t>
        </is>
      </c>
      <c r="D10" s="21" t="inlineStr">
        <is>
          <t>1. Nhập Họ tên: để trống
2. Nhập Email và Mật khẩu hợp lệ
3. Bấm 'Đăng ký ngay'.</t>
        </is>
      </c>
      <c r="E10" s="21" t="inlineStr">
        <is>
          <t>Hệ thống báo lỗi: "Họ tên phải có ít nhất 2 ký tự."</t>
        </is>
      </c>
      <c r="F10" s="21" t="inlineStr">
        <is>
          <t>Form giữ nguyên.</t>
        </is>
      </c>
      <c r="G10" s="22" t="inlineStr">
        <is>
          <t>Pass</t>
        </is>
      </c>
      <c r="H10" s="23" t="inlineStr">
        <is>
          <t>26/09/2026</t>
        </is>
      </c>
      <c r="I10" s="21" t="inlineStr">
        <is>
          <t>Unit test F_AUTH_REG</t>
        </is>
      </c>
    </row>
    <row r="11">
      <c r="A11" s="20" t="inlineStr">
        <is>
          <t>[Register-02]</t>
        </is>
      </c>
      <c r="B11" s="21" t="inlineStr">
        <is>
          <t>Họ tên dưới 2 ký tự (BVA)</t>
        </is>
      </c>
      <c r="C11" s="21" t="inlineStr">
        <is>
          <t>Modal mở tab Đăng ký.</t>
        </is>
      </c>
      <c r="D11" s="21" t="inlineStr">
        <is>
          <t>1. Nhập Họ tên: 'A' (1 ký tự)
2. Bấm 'Đăng ký ngay'.</t>
        </is>
      </c>
      <c r="E11" s="21" t="inlineStr">
        <is>
          <t>Hệ thống báo lỗi: "Họ tên phải có ít nhất 2 ký tự."</t>
        </is>
      </c>
      <c r="F11" s="21" t="inlineStr">
        <is>
          <t>Form giữ nguyên.</t>
        </is>
      </c>
      <c r="G11" s="22" t="inlineStr">
        <is>
          <t>Pass</t>
        </is>
      </c>
      <c r="H11" s="23" t="inlineStr">
        <is>
          <t>26/09/2026</t>
        </is>
      </c>
      <c r="I11" s="21" t="inlineStr">
        <is>
          <t>Kiểm thử biên BVA</t>
        </is>
      </c>
    </row>
    <row r="12">
      <c r="A12" s="20" t="inlineStr">
        <is>
          <t>[Register-03]</t>
        </is>
      </c>
      <c r="B12" s="21" t="inlineStr">
        <is>
          <t>Email để trống</t>
        </is>
      </c>
      <c r="C12" s="21" t="inlineStr">
        <is>
          <t>Modal mở tab Đăng ký.</t>
        </is>
      </c>
      <c r="D12" s="21" t="inlineStr">
        <is>
          <t>1. Nhập họ tên hợp lệ
2. Để trống trường Email
3. Bấm 'Đăng ký ngay'.</t>
        </is>
      </c>
      <c r="E12" s="21" t="inlineStr">
        <is>
          <t>Hệ thống báo lỗi: "Email không đúng định dạng."</t>
        </is>
      </c>
      <c r="F12" s="21" t="inlineStr">
        <is>
          <t>Focus vào ô Email.</t>
        </is>
      </c>
      <c r="G12" s="22" t="inlineStr">
        <is>
          <t>Pass</t>
        </is>
      </c>
      <c r="H12" s="23" t="inlineStr">
        <is>
          <t>26/09/2026</t>
        </is>
      </c>
      <c r="I12" s="21" t="inlineStr">
        <is>
          <t>Unit test F_AUTH_REG</t>
        </is>
      </c>
    </row>
    <row r="13">
      <c r="A13" s="20" t="inlineStr">
        <is>
          <t>[Register-04]</t>
        </is>
      </c>
      <c r="B13" s="21" t="inlineStr">
        <is>
          <t>Email sai định dạng (thiếu @)</t>
        </is>
      </c>
      <c r="C13" s="21" t="inlineStr">
        <is>
          <t>Modal mở tab Đăng ký.</t>
        </is>
      </c>
      <c r="D13" s="21" t="inlineStr">
        <is>
          <t>1. Nhập Email: 'usergamerent.vn'
2. Bấm 'Đăng ký ngay'.</t>
        </is>
      </c>
      <c r="E13" s="21" t="inlineStr">
        <is>
          <t>Hệ thống báo lỗi: "Email không đúng định dạng."</t>
        </is>
      </c>
      <c r="F13" s="21" t="inlineStr">
        <is>
          <t>Form giữ nguyên.</t>
        </is>
      </c>
      <c r="G13" s="22" t="inlineStr">
        <is>
          <t>Pass</t>
        </is>
      </c>
      <c r="H13" s="23" t="inlineStr">
        <is>
          <t>26/09/2026</t>
        </is>
      </c>
      <c r="I13" s="21" t="inlineStr">
        <is>
          <t>RFC 5322 check</t>
        </is>
      </c>
    </row>
    <row r="14">
      <c r="A14" s="20" t="inlineStr">
        <is>
          <t>[Register-05]</t>
        </is>
      </c>
      <c r="B14" s="21" t="inlineStr">
        <is>
          <t>Mật khẩu dưới 6 ký tự (BVA)</t>
        </is>
      </c>
      <c r="C14" s="21" t="inlineStr">
        <is>
          <t>Modal mở tab Đăng ký.</t>
        </is>
      </c>
      <c r="D14" s="21" t="inlineStr">
        <is>
          <t>1. Nhập Mật khẩu: '12345' (5 ký tự)
2. Bấm 'Đăng ký ngay'.</t>
        </is>
      </c>
      <c r="E14" s="21" t="inlineStr">
        <is>
          <t>Hệ thống báo lỗi: "Mật khẩu phải có độ dài từ 6 ký tự trở lên."</t>
        </is>
      </c>
      <c r="F14" s="21" t="inlineStr">
        <is>
          <t>Form giữ nguyên.</t>
        </is>
      </c>
      <c r="G14" s="22" t="inlineStr">
        <is>
          <t>Pass</t>
        </is>
      </c>
      <c r="H14" s="23" t="inlineStr">
        <is>
          <t>26/09/2026</t>
        </is>
      </c>
      <c r="I14" s="21" t="inlineStr">
        <is>
          <t>Kiểm thử biên BVA</t>
        </is>
      </c>
    </row>
    <row r="15">
      <c r="A15" s="20" t="inlineStr">
        <is>
          <t>[Register-06]</t>
        </is>
      </c>
      <c r="B15" s="21" t="inlineStr">
        <is>
          <t>Mật khẩu xác nhận không trùng khớp</t>
        </is>
      </c>
      <c r="C15" s="21" t="inlineStr">
        <is>
          <t>Modal mở tab Đăng ký.</t>
        </is>
      </c>
      <c r="D15" s="21" t="inlineStr">
        <is>
          <t>1. Mật khẩu: 'pass123456'
2. Xác nhận mật khẩu: 'pass654321'
3. Bấm 'Đăng ký ngay'.</t>
        </is>
      </c>
      <c r="E15" s="21" t="inlineStr">
        <is>
          <t>Hệ thống báo lỗi: "Mật khẩu xác nhận không khớp."</t>
        </is>
      </c>
      <c r="F15" s="21" t="inlineStr">
        <is>
          <t>Form giữ nguyên.</t>
        </is>
      </c>
      <c r="G15" s="22" t="inlineStr">
        <is>
          <t>Pass</t>
        </is>
      </c>
      <c r="H15" s="23" t="inlineStr">
        <is>
          <t>26/09/2026</t>
        </is>
      </c>
      <c r="I15" s="21" t="inlineStr">
        <is>
          <t>Validation logic</t>
        </is>
      </c>
    </row>
    <row r="16">
      <c r="A16" s="7" t="inlineStr"/>
      <c r="B16" s="19" t="inlineStr">
        <is>
          <t>Check Business</t>
        </is>
      </c>
      <c r="C16" s="7" t="n"/>
      <c r="D16" s="7" t="n"/>
      <c r="E16" s="7" t="n"/>
      <c r="F16" s="7" t="n"/>
      <c r="G16" s="7" t="n"/>
      <c r="H16" s="7" t="n"/>
      <c r="I16" s="7" t="n"/>
    </row>
    <row r="17">
      <c r="A17" s="20" t="inlineStr">
        <is>
          <t>[Register-07]</t>
        </is>
      </c>
      <c r="B17" s="21" t="inlineStr">
        <is>
          <t>Đăng ký thành công với thông tin đầy đủ hợp lệ</t>
        </is>
      </c>
      <c r="C17" s="21" t="inlineStr">
        <is>
          <t>Chưa có tài khoản.</t>
        </is>
      </c>
      <c r="D17" s="21" t="inlineStr">
        <is>
          <t>1. Nhập Họ tên: 'Trần Văn An', Email: 'an.tran@gamerent.vn', Pass: 'pass123456'
2. Bấm 'Đăng ký ngay'.</t>
        </is>
      </c>
      <c r="E17" s="21" t="inlineStr">
        <is>
          <t>1. Đăng ký thành công.
2. Dữ liệu ghi nhận vào cơ sở dữ liệu LocalStorage.
3. Thông báo tạo tài khoản thành công.</t>
        </is>
      </c>
      <c r="F17" s="21" t="inlineStr">
        <is>
          <t>Tài khoản mới được tạo.</t>
        </is>
      </c>
      <c r="G17" s="22" t="inlineStr">
        <is>
          <t>Pass</t>
        </is>
      </c>
      <c r="H17" s="23" t="inlineStr">
        <is>
          <t>26/09/2026</t>
        </is>
      </c>
      <c r="I17" s="21" t="inlineStr">
        <is>
          <t>Normal case</t>
        </is>
      </c>
    </row>
    <row r="18">
      <c r="A18" s="20" t="inlineStr">
        <is>
          <t>[Register-08]</t>
        </is>
      </c>
      <c r="B18" s="21" t="inlineStr">
        <is>
          <t>Đăng ký khi Email đã tồn tại trong hệ thống</t>
        </is>
      </c>
      <c r="C18" s="21" t="inlineStr">
        <is>
          <t>Hệ thống đã có tài khoản: 'admin@gamerent.vn'.</t>
        </is>
      </c>
      <c r="D18" s="21" t="inlineStr">
        <is>
          <t>1. Nhập Email: 'admin@gamerent.vn'
2. Bấm 'Đăng ký ngay'.</t>
        </is>
      </c>
      <c r="E18" s="21" t="inlineStr">
        <is>
          <t>Hệ thống báo lỗi: "Email này đã được đăng ký tài khoản."</t>
        </is>
      </c>
      <c r="F18" s="21" t="inlineStr">
        <is>
          <t>Từ chối tạo tài khoản trùng lặp.</t>
        </is>
      </c>
      <c r="G18" s="22" t="inlineStr">
        <is>
          <t>Pass</t>
        </is>
      </c>
      <c r="H18" s="23" t="inlineStr">
        <is>
          <t>26/09/2026</t>
        </is>
      </c>
      <c r="I18" s="21" t="inlineStr">
        <is>
          <t>Chống trùng lặp email</t>
        </is>
      </c>
    </row>
    <row r="19">
      <c r="A19" s="20" t="inlineStr">
        <is>
          <t>[Register-09]</t>
        </is>
      </c>
      <c r="B19" s="21" t="inlineStr">
        <is>
          <t>Tự động đăng nhập và khởi tạo số dư ví 50.000 VNĐ</t>
        </is>
      </c>
      <c r="C19" s="21" t="inlineStr">
        <is>
          <t>Thực hiện đăng ký mới thành công.</t>
        </is>
      </c>
      <c r="D19" s="21" t="inlineStr">
        <is>
          <t>1. Bấm 'Đăng ký ngay' với thông tin chuẩn.
2. Quan sát trạng thái người dùng trên Navbar.</t>
        </is>
      </c>
      <c r="E19" s="21" t="inlineStr">
        <is>
          <t>1. Tự động đăng nhập với quyền 'renter'.
2. Số dư ví được khởi tạo chính xác 50.000 VNĐ.</t>
        </is>
      </c>
      <c r="F19" s="21" t="inlineStr">
        <is>
          <t>Tài khoản sẵn sàng thuê nick.</t>
        </is>
      </c>
      <c r="G19" s="22" t="inlineStr">
        <is>
          <t>Pass</t>
        </is>
      </c>
      <c r="H19" s="23" t="inlineStr">
        <is>
          <t>26/09/2026</t>
        </is>
      </c>
      <c r="I19" s="21" t="inlineStr">
        <is>
          <t>Tích hợp ITC-01</t>
        </is>
      </c>
    </row>
    <row r="20">
      <c r="A20" s="20" t="inlineStr">
        <is>
          <t>[Register-10]</t>
        </is>
      </c>
      <c r="B20" s="21" t="inlineStr">
        <is>
          <t>Đồng bộ danh sách khách hàng sang Admin CRM</t>
        </is>
      </c>
      <c r="C20" s="21" t="inlineStr">
        <is>
          <t>Khách hàng mới đăng ký xong.</t>
        </is>
      </c>
      <c r="D20" s="21" t="inlineStr">
        <is>
          <t>1. Mở trang Admin Dashboard (tab Khách hàng).
2. Kiểm tra danh sách khách hàng.</t>
        </is>
      </c>
      <c r="E20" s="21" t="inlineStr">
        <is>
          <t>Khách hàng mới 'Trần Văn An' lập tức xuất hiện trong danh sách quản lý với status = 'active'.</t>
        </is>
      </c>
      <c r="F20" s="21" t="inlineStr">
        <is>
          <t>Nhất quán dữ liệu 100%.</t>
        </is>
      </c>
      <c r="G20" s="22" t="inlineStr">
        <is>
          <t>Pass</t>
        </is>
      </c>
      <c r="H20" s="23" t="inlineStr">
        <is>
          <t>26/09/2026</t>
        </is>
      </c>
      <c r="I20" s="21" t="inlineStr">
        <is>
          <t>Tích hợp ITC-08</t>
        </is>
      </c>
    </row>
  </sheetData>
  <mergeCells count="5">
    <mergeCell ref="B4:F4"/>
    <mergeCell ref="E6:F6"/>
    <mergeCell ref="B2:F2"/>
    <mergeCell ref="B3:F3"/>
    <mergeCell ref="E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I18"/>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Wallet</t>
        </is>
      </c>
    </row>
    <row r="3" ht="35" customHeight="1">
      <c r="A3" s="5" t="inlineStr">
        <is>
          <t>Test requirement</t>
        </is>
      </c>
      <c r="B3" s="16" t="inlineStr">
        <is>
          <t>Kiểm thử phân hệ Ví điện tử &amp; Cổng nạp tiền VietQR Napas247: kiểm tra hạn mức nạp, sinh mã VietQR động, cộng dồn số dư ví và lưu lịch sử giao dịch thời gian thực.</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[Wallet-01]</t>
        </is>
      </c>
      <c r="B10" s="21" t="inlineStr">
        <is>
          <t>Nhập số tiền nạp dưới mức tối thiểu (&lt; 10.000 VNĐ)</t>
        </is>
      </c>
      <c r="C10" s="21" t="inlineStr">
        <is>
          <t>Đã đăng nhập, mở modal Nạp tiền.</t>
        </is>
      </c>
      <c r="D10" s="21" t="inlineStr">
        <is>
          <t>1. Nhập số tiền: 5.000 VNĐ (dưới biên 10k)
2. Bấm 'Tạo mã VietQR'.</t>
        </is>
      </c>
      <c r="E10" s="21" t="inlineStr">
        <is>
          <t>Hệ thống báo lỗi: "Số tiền nạp tối thiểu là 10.000 VNĐ."</t>
        </is>
      </c>
      <c r="F10" s="21" t="inlineStr">
        <is>
          <t>Không tạo mã QR.</t>
        </is>
      </c>
      <c r="G10" s="22" t="inlineStr">
        <is>
          <t>Pass</t>
        </is>
      </c>
      <c r="H10" s="23" t="inlineStr">
        <is>
          <t>26/09/2026</t>
        </is>
      </c>
      <c r="I10" s="21" t="inlineStr">
        <is>
          <t>BVA Biên dưới F_WAL_DEP</t>
        </is>
      </c>
    </row>
    <row r="11">
      <c r="A11" s="20" t="inlineStr">
        <is>
          <t>[Wallet-02]</t>
        </is>
      </c>
      <c r="B11" s="21" t="inlineStr">
        <is>
          <t>Nhập số tiền nạp vượt mức tối đa (&gt; 5.000.000 VNĐ)</t>
        </is>
      </c>
      <c r="C11" s="21" t="inlineStr">
        <is>
          <t>Mở modal Nạp tiền.</t>
        </is>
      </c>
      <c r="D11" s="21" t="inlineStr">
        <is>
          <t>1. Nhập số tiền: 6.000.000 VNĐ (vượt biên 5 triệu)
2. Bấm 'Tạo mã VietQR'.</t>
        </is>
      </c>
      <c r="E11" s="21" t="inlineStr">
        <is>
          <t>Hệ thống báo lỗi: "Số tiền nạp tối đa một lần là 5.000.000 VNĐ."</t>
        </is>
      </c>
      <c r="F11" s="21" t="inlineStr">
        <is>
          <t>Không tạo mã QR.</t>
        </is>
      </c>
      <c r="G11" s="22" t="inlineStr">
        <is>
          <t>Pass</t>
        </is>
      </c>
      <c r="H11" s="23" t="inlineStr">
        <is>
          <t>26/09/2026</t>
        </is>
      </c>
      <c r="I11" s="21" t="inlineStr">
        <is>
          <t>BVA Biên trên F_WAL_DEP</t>
        </is>
      </c>
    </row>
    <row r="12">
      <c r="A12" s="20" t="inlineStr">
        <is>
          <t>[Wallet-03]</t>
        </is>
      </c>
      <c r="B12" s="21" t="inlineStr">
        <is>
          <t>Nhập số tiền là số âm hoặc chữ cái</t>
        </is>
      </c>
      <c r="C12" s="21" t="inlineStr">
        <is>
          <t>Mở modal Nạp tiền.</t>
        </is>
      </c>
      <c r="D12" s="21" t="inlineStr">
        <is>
          <t>1. Nhập số tiền: '-50000' hoặc 'abc'
2. Bấm 'Tạo mã VietQR'.</t>
        </is>
      </c>
      <c r="E12" s="21" t="inlineStr">
        <is>
          <t>Hệ thống chặn nhập hoặc báo lỗi: "Số tiền nạp không hợp lệ."</t>
        </is>
      </c>
      <c r="F12" s="21" t="inlineStr">
        <is>
          <t>Chặn submit form.</t>
        </is>
      </c>
      <c r="G12" s="22" t="inlineStr">
        <is>
          <t>Pass</t>
        </is>
      </c>
      <c r="H12" s="23" t="inlineStr">
        <is>
          <t>26/09/2026</t>
        </is>
      </c>
      <c r="I12" s="21" t="inlineStr">
        <is>
          <t>Kiểm thử EP</t>
        </is>
      </c>
    </row>
    <row r="13">
      <c r="A13" s="7" t="inlineStr"/>
      <c r="B13" s="19" t="inlineStr">
        <is>
          <t>Check Business</t>
        </is>
      </c>
      <c r="C13" s="7" t="n"/>
      <c r="D13" s="7" t="n"/>
      <c r="E13" s="7" t="n"/>
      <c r="F13" s="7" t="n"/>
      <c r="G13" s="7" t="n"/>
      <c r="H13" s="7" t="n"/>
      <c r="I13" s="7" t="n"/>
    </row>
    <row r="14">
      <c r="A14" s="20" t="inlineStr">
        <is>
          <t>[Wallet-04]</t>
        </is>
      </c>
      <c r="B14" s="21" t="inlineStr">
        <is>
          <t>Tạo mã VietQR động theo mệnh giá chọn sẵn (200.000 VNĐ)</t>
        </is>
      </c>
      <c r="C14" s="21" t="inlineStr">
        <is>
          <t>Đang mở modal nạp tiền.</t>
        </is>
      </c>
      <c r="D14" s="21" t="inlineStr">
        <is>
          <t>1. Chọn nhanh gói 200.000 VNĐ.
2. Bấm 'Tạo mã VietQR'.</t>
        </is>
      </c>
      <c r="E14" s="21" t="inlineStr">
        <is>
          <t>1. Hiển thị mã QR chuẩn Napas247 có logo VietQR.
2. Hiển thị nội dung chuyển khoản mã giao dịch duy nhất (TX-XXXX).</t>
        </is>
      </c>
      <c r="F14" s="21" t="inlineStr">
        <is>
          <t>Mã QR sẵn sàng quét.</t>
        </is>
      </c>
      <c r="G14" s="22" t="inlineStr">
        <is>
          <t>Pass</t>
        </is>
      </c>
      <c r="H14" s="23" t="inlineStr">
        <is>
          <t>26/09/2026</t>
        </is>
      </c>
      <c r="I14" s="21" t="inlineStr">
        <is>
          <t>VietQR Generator</t>
        </is>
      </c>
    </row>
    <row r="15">
      <c r="A15" s="20" t="inlineStr">
        <is>
          <t>[Wallet-05]</t>
        </is>
      </c>
      <c r="B15" s="21" t="inlineStr">
        <is>
          <t>Mô phỏng quét mã thành công, số dư ví tự động cộng dồn</t>
        </is>
      </c>
      <c r="C15" s="21" t="inlineStr">
        <is>
          <t>Ví hiện có 50.000 VNĐ, đang mở mã QR 200.000 VNĐ.</t>
        </is>
      </c>
      <c r="D15" s="21" t="inlineStr">
        <is>
          <t>1. Bấm 'Xác Nhận Đã Chuyển Khoản' (Auto Hook).</t>
        </is>
      </c>
      <c r="E15" s="21" t="inlineStr">
        <is>
          <t>1. Số dư ví tăng lên đúng 250.000 VNĐ (50k + 200k).
2. Modal thông báo nạp tiền thành công.</t>
        </is>
      </c>
      <c r="F15" s="21" t="inlineStr">
        <is>
          <t>Số dư ví cập nhật tức thì.</t>
        </is>
      </c>
      <c r="G15" s="22" t="inlineStr">
        <is>
          <t>Pass</t>
        </is>
      </c>
      <c r="H15" s="23" t="inlineStr">
        <is>
          <t>26/09/2026</t>
        </is>
      </c>
      <c r="I15" s="21" t="inlineStr">
        <is>
          <t>Tích hợp ITC-02</t>
        </is>
      </c>
    </row>
    <row r="16">
      <c r="A16" s="20" t="inlineStr">
        <is>
          <t>[Wallet-06]</t>
        </is>
      </c>
      <c r="B16" s="21" t="inlineStr">
        <is>
          <t>Ghi nhận lịch sử giao dịch nạp tiền thời gian thực</t>
        </is>
      </c>
      <c r="C16" s="21" t="inlineStr">
        <is>
          <t>Nạp tiền 200.000 VNĐ thành công.</t>
        </is>
      </c>
      <c r="D16" s="21" t="inlineStr">
        <is>
          <t>1. Mở tab Lịch sử giao dịch trên WalletPage.</t>
        </is>
      </c>
      <c r="E16" s="21" t="inlineStr">
        <is>
          <t>Xuất hiện bản ghi giao dịch mới: Loại 'Nạp tiền VietQR', Số tiền '+200.000 VNĐ', Thời gian chuẩn xác.</t>
        </is>
      </c>
      <c r="F16" s="21" t="inlineStr">
        <is>
          <t>Lịch sử biến động minh bạch.</t>
        </is>
      </c>
      <c r="G16" s="22" t="inlineStr">
        <is>
          <t>Pass</t>
        </is>
      </c>
      <c r="H16" s="23" t="inlineStr">
        <is>
          <t>26/09/2026</t>
        </is>
      </c>
      <c r="I16" s="21" t="inlineStr">
        <is>
          <t>State Transition Audit</t>
        </is>
      </c>
    </row>
    <row r="17">
      <c r="A17" s="20" t="inlineStr">
        <is>
          <t>[Wallet-07]</t>
        </is>
      </c>
      <c r="B17" s="21" t="inlineStr">
        <is>
          <t>Kiểm tra xử lý làm tròn tránh lỗi số thực Floating-Point</t>
        </is>
      </c>
      <c r="C17" s="21" t="inlineStr">
        <is>
          <t>Thực hiện nạp tiền và trừ tiền lẻ nhiều lần.</t>
        </is>
      </c>
      <c r="D17" s="21" t="inlineStr">
        <is>
          <t>1. Nạp và gia hạn liên tiếp các mốc 15.000 VNĐ và 25.000 VNĐ.</t>
        </is>
      </c>
      <c r="E17" s="21" t="inlineStr">
        <is>
          <t>Số dư ví luôn là số nguyên tuyệt đối, không xuất hiện phần thập phân như .0000000001 (Fixed BUG-IT-001).</t>
        </is>
      </c>
      <c r="F17" s="21" t="inlineStr">
        <is>
          <t>Số dư ví chuẩn xác 100%.</t>
        </is>
      </c>
      <c r="G17" s="22" t="inlineStr">
        <is>
          <t>Pass</t>
        </is>
      </c>
      <c r="H17" s="23" t="inlineStr">
        <is>
          <t>26/09/2026</t>
        </is>
      </c>
      <c r="I17" s="21" t="inlineStr">
        <is>
          <t>Fixed BUG-IT-001</t>
        </is>
      </c>
    </row>
    <row r="18">
      <c r="A18" s="20" t="inlineStr">
        <is>
          <t>[Wallet-08]</t>
        </is>
      </c>
      <c r="B18" s="21" t="inlineStr">
        <is>
          <t>Hủy thao tác nạp tiền, bảo toàn số dư ví</t>
        </is>
      </c>
      <c r="C18" s="21" t="inlineStr">
        <is>
          <t>Mở modal nạp tiền.</t>
        </is>
      </c>
      <c r="D18" s="21" t="inlineStr">
        <is>
          <t>1. Bấm icon 'X' đóng modal hoặc click ra ngoài overlay.</t>
        </is>
      </c>
      <c r="E18" s="21" t="inlineStr">
        <is>
          <t>Modal đóng lại an toàn, số dư ví và lịch sử không thay đổi.</t>
        </is>
      </c>
      <c r="F18" s="21" t="inlineStr">
        <is>
          <t>Trạng thái ví được bảo toàn.</t>
        </is>
      </c>
      <c r="G18" s="22" t="inlineStr">
        <is>
          <t>Pass</t>
        </is>
      </c>
      <c r="H18" s="23" t="inlineStr">
        <is>
          <t>26/09/2026</t>
        </is>
      </c>
      <c r="I18" s="21" t="inlineStr">
        <is>
          <t>User Cancel Action</t>
        </is>
      </c>
    </row>
  </sheetData>
  <mergeCells count="5">
    <mergeCell ref="B4:F4"/>
    <mergeCell ref="E6:F6"/>
    <mergeCell ref="B2:F2"/>
    <mergeCell ref="B3:F3"/>
    <mergeCell ref="E5:F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I18"/>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Rental</t>
        </is>
      </c>
    </row>
    <row r="3" ht="35" customHeight="1">
      <c r="A3" s="5" t="inlineStr">
        <is>
          <t>Test requirement</t>
        </is>
      </c>
      <c r="B3" s="16" t="inlineStr">
        <is>
          <t>Kiểm thử luồng Thuê tài khoản game 24/7: kiểm tra kiểm soát số dư ví, trừ tiền thuê, chuyển trạng thái tài khoản trong kho và bàn giao thông tin đăng nhập in-game tức thì 1 giây.</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[Rental-01]</t>
        </is>
      </c>
      <c r="B10" s="21" t="inlineStr">
        <is>
          <t>Chọn thời gian thuê = 0 giờ</t>
        </is>
      </c>
      <c r="C10" s="21" t="inlineStr">
        <is>
          <t>Mở modal Thuê tài khoản.</t>
        </is>
      </c>
      <c r="D10" s="21" t="inlineStr">
        <is>
          <t>1. Nhập số giờ thuê: 0
2. Bấm 'Xác nhận thuê'.</t>
        </is>
      </c>
      <c r="E10" s="21" t="inlineStr">
        <is>
          <t>Hệ thống báo lỗi thời gian thuê tối thiểu 1 giờ.</t>
        </is>
      </c>
      <c r="F10" s="21" t="inlineStr">
        <is>
          <t>Chặn gửi đơn thuê.</t>
        </is>
      </c>
      <c r="G10" s="22" t="inlineStr">
        <is>
          <t>Pass</t>
        </is>
      </c>
      <c r="H10" s="23" t="inlineStr">
        <is>
          <t>26/09/2026</t>
        </is>
      </c>
      <c r="I10" s="21" t="inlineStr">
        <is>
          <t>BVA Biên dưới F_RENT_CALC</t>
        </is>
      </c>
    </row>
    <row r="11">
      <c r="A11" s="20" t="inlineStr">
        <is>
          <t>[Rental-02]</t>
        </is>
      </c>
      <c r="B11" s="21" t="inlineStr">
        <is>
          <t>Chưa tick chọn đồng ý điều khoản dịch vụ</t>
        </is>
      </c>
      <c r="C11" s="21" t="inlineStr">
        <is>
          <t>Mở modal Thuê tài khoản.</t>
        </is>
      </c>
      <c r="D11" s="21" t="inlineStr">
        <is>
          <t>1. Chọn 2 giờ thuê (30.000 VNĐ)
2. Bỏ tick ô 'Tôi đồng ý điều khoản'
3. Bấm 'Xác nhận thuê'.</t>
        </is>
      </c>
      <c r="E11" s="21" t="inlineStr">
        <is>
          <t>Nút bấm bị vô hiệu hóa (disabled) hoặc báo lỗi yêu cầu đồng ý điều khoản.</t>
        </is>
      </c>
      <c r="F11" s="21" t="inlineStr">
        <is>
          <t>Chặn giao dịch.</t>
        </is>
      </c>
      <c r="G11" s="22" t="inlineStr">
        <is>
          <t>Pass</t>
        </is>
      </c>
      <c r="H11" s="23" t="inlineStr">
        <is>
          <t>26/09/2026</t>
        </is>
      </c>
      <c r="I11" s="21" t="inlineStr">
        <is>
          <t>UI Policy Validation</t>
        </is>
      </c>
    </row>
    <row r="12">
      <c r="A12" s="7" t="inlineStr"/>
      <c r="B12" s="19" t="inlineStr">
        <is>
          <t>Check Business</t>
        </is>
      </c>
      <c r="C12" s="7" t="n"/>
      <c r="D12" s="7" t="n"/>
      <c r="E12" s="7" t="n"/>
      <c r="F12" s="7" t="n"/>
      <c r="G12" s="7" t="n"/>
      <c r="H12" s="7" t="n"/>
      <c r="I12" s="7" t="n"/>
    </row>
    <row r="13">
      <c r="A13" s="20" t="inlineStr">
        <is>
          <t>[Rental-03]</t>
        </is>
      </c>
      <c r="B13" s="21" t="inlineStr">
        <is>
          <t>Thuê tài khoản thành công khi số dư ví đủ chi trả</t>
        </is>
      </c>
      <c r="C13" s="21" t="inlineStr">
        <is>
          <t>Ví có 250.000 VNĐ, tài khoản ACC-VAL-01 giá 15k/h đang Available.</t>
        </is>
      </c>
      <c r="D13" s="21" t="inlineStr">
        <is>
          <t>1. Chọn thuê 2 giờ (30.000 VNĐ)
2. Tick đồng ý điều khoản
3. Bấm 'Xác Nhận Thuê'.</t>
        </is>
      </c>
      <c r="E13" s="21" t="inlineStr">
        <is>
          <t>1. Ví bị trừ đúng 30.000 VNĐ (còn 220.000 VNĐ).
2. Modal bàn giao mật khẩu hiển thị thông tin đăng nhập.
3. Tài khoản game đổi trạng thái sang 'rented'.</t>
        </is>
      </c>
      <c r="F13" s="21" t="inlineStr">
        <is>
          <t>Tài khoản bàn giao thành công.</t>
        </is>
      </c>
      <c r="G13" s="22" t="inlineStr">
        <is>
          <t>Pass</t>
        </is>
      </c>
      <c r="H13" s="23" t="inlineStr">
        <is>
          <t>26/09/2026</t>
        </is>
      </c>
      <c r="I13" s="21" t="inlineStr">
        <is>
          <t>Tích hợp ITC-03</t>
        </is>
      </c>
    </row>
    <row r="14">
      <c r="A14" s="20" t="inlineStr">
        <is>
          <t>[Rental-04]</t>
        </is>
      </c>
      <c r="B14" s="21" t="inlineStr">
        <is>
          <t>Chặn thuê tài khoản khi số dư ví không đủ</t>
        </is>
      </c>
      <c r="C14" s="21" t="inlineStr">
        <is>
          <t>Ví có 20.000 VNĐ, đơn thuê yêu cầu 45.000 VNĐ (3 giờ).</t>
        </is>
      </c>
      <c r="D14" s="21" t="inlineStr">
        <is>
          <t>1. Bấm 'Xác Nhận Thuê'.</t>
        </is>
      </c>
      <c r="E14" s="21" t="inlineStr">
        <is>
          <t>1. Hệ thống chặn thanh toán.
2. Hiển thị thông báo số dư không đủ và gợi ý mở modal Nạp tiền.</t>
        </is>
      </c>
      <c r="F14" s="21" t="inlineStr">
        <is>
          <t>Ví không bị trừ tiền.</t>
        </is>
      </c>
      <c r="G14" s="22" t="inlineStr">
        <is>
          <t>Pass</t>
        </is>
      </c>
      <c r="H14" s="23" t="inlineStr">
        <is>
          <t>26/09/2026</t>
        </is>
      </c>
      <c r="I14" s="21" t="inlineStr">
        <is>
          <t>F_RENT_CALC Decision Table</t>
        </is>
      </c>
    </row>
    <row r="15">
      <c r="A15" s="20" t="inlineStr">
        <is>
          <t>[Rental-05]</t>
        </is>
      </c>
      <c r="B15" s="21" t="inlineStr">
        <is>
          <t>Bàn giao tài khoản và mật khẩu in-game tức thì 1-click</t>
        </is>
      </c>
      <c r="C15" s="21" t="inlineStr">
        <is>
          <t>Giao dịch thanh toán thuê thành công.</t>
        </is>
      </c>
      <c r="D15" s="21" t="inlineStr">
        <is>
          <t>1. Xem giao diện bàn giao mật khẩu bí mật.
2. Bấm nút 'Copy 1-click' tài khoản và mật khẩu.</t>
        </is>
      </c>
      <c r="E15" s="21" t="inlineStr">
        <is>
          <t>1. Hiển thị rõ Tên đăng nhập và Mật khẩu in-game bí mật.
2. Dữ liệu được chép vào Clipboard máy tính với thông báo toast.</t>
        </is>
      </c>
      <c r="F15" s="21" t="inlineStr">
        <is>
          <t>Trải nghiệm tiện lợi tức thì.</t>
        </is>
      </c>
      <c r="G15" s="22" t="inlineStr">
        <is>
          <t>Pass</t>
        </is>
      </c>
      <c r="H15" s="23" t="inlineStr">
        <is>
          <t>26/09/2026</t>
        </is>
      </c>
      <c r="I15" s="21" t="inlineStr">
        <is>
          <t>Feature Instant Delivery</t>
        </is>
      </c>
    </row>
    <row r="16">
      <c r="A16" s="20" t="inlineStr">
        <is>
          <t>[Rental-06]</t>
        </is>
      </c>
      <c r="B16" s="21" t="inlineStr">
        <is>
          <t>Cập nhật trạng thái tài khoản trong kho sang 'rented'</t>
        </is>
      </c>
      <c r="C16" s="21" t="inlineStr">
        <is>
          <t>Khách hàng hoàn tất thanh toán thuê nick.</t>
        </is>
      </c>
      <c r="D16" s="21" t="inlineStr">
        <is>
          <t>1. Trở về trang danh mục kho tài khoản.</t>
        </is>
      </c>
      <c r="E16" s="21" t="inlineStr">
        <is>
          <t>Thẻ tài khoản đổi badge sang 'Đang thuê' (Rented), ẩn nút 'Thuê ngay', không cho khách khác thuê trùng.</t>
        </is>
      </c>
      <c r="F16" s="21" t="inlineStr">
        <is>
          <t>Khóa độc quyền phiên chơi.</t>
        </is>
      </c>
      <c r="G16" s="22" t="inlineStr">
        <is>
          <t>Pass</t>
        </is>
      </c>
      <c r="H16" s="23" t="inlineStr">
        <is>
          <t>26/09/2026</t>
        </is>
      </c>
      <c r="I16" s="21" t="inlineStr">
        <is>
          <t>Inventory State Lock</t>
        </is>
      </c>
    </row>
    <row r="17">
      <c r="A17" s="20" t="inlineStr">
        <is>
          <t>[Rental-07]</t>
        </is>
      </c>
      <c r="B17" s="21" t="inlineStr">
        <is>
          <t>Khởi tạo đơn thuê mới trong My Rentals với status 'active'</t>
        </is>
      </c>
      <c r="C17" s="21" t="inlineStr">
        <is>
          <t>Thuê nick 2 giờ thành công.</t>
        </is>
      </c>
      <c r="D17" s="21" t="inlineStr">
        <is>
          <t>1. Mở trang Đơn thuê của tôi (My Rentals).</t>
        </is>
      </c>
      <c r="E17" s="21" t="inlineStr">
        <is>
          <t>Xuất hiện thẻ đơn thuê mới ORDER-XXXX với đồng hồ đếm ngược 02:00:00 đang chạy.</t>
        </is>
      </c>
      <c r="F17" s="21" t="inlineStr">
        <is>
          <t>Đơn thuê được ghi nhận chuẩn xác.</t>
        </is>
      </c>
      <c r="G17" s="22" t="inlineStr">
        <is>
          <t>Pass</t>
        </is>
      </c>
      <c r="H17" s="23" t="inlineStr">
        <is>
          <t>26/09/2026</t>
        </is>
      </c>
      <c r="I17" s="21" t="inlineStr">
        <is>
          <t>My Rentals Page Binding</t>
        </is>
      </c>
    </row>
    <row r="18">
      <c r="A18" s="20" t="inlineStr">
        <is>
          <t>[Rental-08]</t>
        </is>
      </c>
      <c r="B18" s="21" t="inlineStr">
        <is>
          <t>Chống xung đột tài nguyên khi 2 khách cùng bấm thuê 1 lúc</t>
        </is>
      </c>
      <c r="C18" s="21" t="inlineStr">
        <is>
          <t>2 khách hàng cùng xem 1 tài khoản Available duy nhất.</t>
        </is>
      </c>
      <c r="D18" s="21" t="inlineStr">
        <is>
          <t>1. Cả 2 cùng bấm xác nhận thuê đồng thời.</t>
        </is>
      </c>
      <c r="E18" s="21" t="inlineStr">
        <is>
          <t>Khách hàng bấm trước 1ms được thuê thành công; khách hàng bấm sau nhận thông báo tài khoản vừa được người khác thuê.</t>
        </is>
      </c>
      <c r="F18" s="21" t="inlineStr">
        <is>
          <t>Chống Race Condition tuyệt đối.</t>
        </is>
      </c>
      <c r="G18" s="22" t="inlineStr">
        <is>
          <t>Pass</t>
        </is>
      </c>
      <c r="H18" s="23" t="inlineStr">
        <is>
          <t>26/09/2026</t>
        </is>
      </c>
      <c r="I18" s="21" t="inlineStr">
        <is>
          <t>STC-E2E-12 Concurrency Lock</t>
        </is>
      </c>
    </row>
  </sheetData>
  <mergeCells count="5">
    <mergeCell ref="B4:F4"/>
    <mergeCell ref="E6:F6"/>
    <mergeCell ref="B2:F2"/>
    <mergeCell ref="B3:F3"/>
    <mergeCell ref="E5:F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I18"/>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Timer</t>
        </is>
      </c>
    </row>
    <row r="3" ht="35" customHeight="1">
      <c r="A3" s="5" t="inlineStr">
        <is>
          <t>Test requirement</t>
        </is>
      </c>
      <c r="B3" s="16" t="inlineStr">
        <is>
          <t>Kiểm thử bộ đếm ngược thời gian thực CountdownTimer và cơ chế Gia hạn giờ chơi: giám sát từng giây theo Date.now(), cảnh báo 3 cấp độ màu và tự động thu hồi/reset mật khẩu khi hết giờ.</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[Timer-01]</t>
        </is>
      </c>
      <c r="B10" s="21" t="inlineStr">
        <is>
          <t>Chọn gia hạn 0 giờ</t>
        </is>
      </c>
      <c r="C10" s="21" t="inlineStr">
        <is>
          <t>Mở modal Gia hạn trên đơn thuê.</t>
        </is>
      </c>
      <c r="D10" s="21" t="inlineStr">
        <is>
          <t>1. Nhập số giờ gia hạn: 0
2. Bấm 'Xác nhận gia hạn'.</t>
        </is>
      </c>
      <c r="E10" s="21" t="inlineStr">
        <is>
          <t>Hệ thống báo lỗi thời gian gia hạn tối thiểu 1 giờ.</t>
        </is>
      </c>
      <c r="F10" s="21" t="inlineStr">
        <is>
          <t>Chặn gia hạn.</t>
        </is>
      </c>
      <c r="G10" s="22" t="inlineStr">
        <is>
          <t>Pass</t>
        </is>
      </c>
      <c r="H10" s="23" t="inlineStr">
        <is>
          <t>26/09/2026</t>
        </is>
      </c>
      <c r="I10" s="21" t="inlineStr">
        <is>
          <t>BVA Extension Input</t>
        </is>
      </c>
    </row>
    <row r="11">
      <c r="A11" s="20" t="inlineStr">
        <is>
          <t>[Timer-02]</t>
        </is>
      </c>
      <c r="B11" s="21" t="inlineStr">
        <is>
          <t>Gia hạn khi số dư ví không đủ chi trả</t>
        </is>
      </c>
      <c r="C11" s="21" t="inlineStr">
        <is>
          <t>Ví có 5.000 VNĐ, giá gia hạn 1 giờ là 15.000 VNĐ.</t>
        </is>
      </c>
      <c r="D11" s="21" t="inlineStr">
        <is>
          <t>1. Chọn gia hạn 1 giờ
2. Bấm 'Xác nhận gia hạn'.</t>
        </is>
      </c>
      <c r="E11" s="21" t="inlineStr">
        <is>
          <t>Hệ thống báo lỗi số dư ví không đủ và đề xuất nạp thêm.</t>
        </is>
      </c>
      <c r="F11" s="21" t="inlineStr">
        <is>
          <t>Không trừ ví, không cộng giờ.</t>
        </is>
      </c>
      <c r="G11" s="22" t="inlineStr">
        <is>
          <t>Pass</t>
        </is>
      </c>
      <c r="H11" s="23" t="inlineStr">
        <is>
          <t>26/09/2026</t>
        </is>
      </c>
      <c r="I11" s="21" t="inlineStr">
        <is>
          <t>Balance Check Logic</t>
        </is>
      </c>
    </row>
    <row r="12">
      <c r="A12" s="7" t="inlineStr"/>
      <c r="B12" s="19" t="inlineStr">
        <is>
          <t>Check Business</t>
        </is>
      </c>
      <c r="C12" s="7" t="n"/>
      <c r="D12" s="7" t="n"/>
      <c r="E12" s="7" t="n"/>
      <c r="F12" s="7" t="n"/>
      <c r="G12" s="7" t="n"/>
      <c r="H12" s="7" t="n"/>
      <c r="I12" s="7" t="n"/>
    </row>
    <row r="13">
      <c r="A13" s="20" t="inlineStr">
        <is>
          <t>[Timer-03]</t>
        </is>
      </c>
      <c r="B13" s="21" t="inlineStr">
        <is>
          <t>Đồng hồ CountdownTimer đếm ngược chuẩn xác theo Date.now()</t>
        </is>
      </c>
      <c r="C13" s="21" t="inlineStr">
        <is>
          <t>Đơn thuê 2 giờ vừa được kích hoạt.</t>
        </is>
      </c>
      <c r="D13" s="21" t="inlineStr">
        <is>
          <t>1. Quan sát đồng hồ đếm ngược trên MyRentalsPage trong 10 giây.</t>
        </is>
      </c>
      <c r="E13" s="21" t="inlineStr">
        <is>
          <t>Đồng hồ đếm ngược giảm đều đặn từng giây (01:59:59 -&gt; 01:59:50) dựa trên mốc chênh lệch thời gian tuyệt đối.</t>
        </is>
      </c>
      <c r="F13" s="21" t="inlineStr">
        <is>
          <t>Đếm ngược chuẩn xác không trôi.</t>
        </is>
      </c>
      <c r="G13" s="22" t="inlineStr">
        <is>
          <t>Pass</t>
        </is>
      </c>
      <c r="H13" s="23" t="inlineStr">
        <is>
          <t>26/09/2026</t>
        </is>
      </c>
      <c r="I13" s="21" t="inlineStr">
        <is>
          <t>Timestamp Accuracy</t>
        </is>
      </c>
    </row>
    <row r="14">
      <c r="A14" s="20" t="inlineStr">
        <is>
          <t>[Timer-04]</t>
        </is>
      </c>
      <c r="B14" s="21" t="inlineStr">
        <is>
          <t>Hệ thống cảnh báo 3 cấp độ màu sắc trực quan</t>
        </is>
      </c>
      <c r="C14" s="21" t="inlineStr">
        <is>
          <t>Theo dõi đồng hồ ở các mốc thời gian khác nhau.</t>
        </is>
      </c>
      <c r="D14" s="21" t="inlineStr">
        <is>
          <t>1. Thời gian &gt; 1 giờ: Màu Xanh lục.
2. Thời gian &lt; 1 giờ: Chuyển sang Vàng cam cảnh báo.
3. Thời gian = 0: Chuyển Đỏ.</t>
        </is>
      </c>
      <c r="E14" s="21" t="inlineStr">
        <is>
          <t>Giao diện đổi màu tương ứng giúp người dùng nhận diện ngay nguy cơ hết giờ chơi.</t>
        </is>
      </c>
      <c r="F14" s="21" t="inlineStr">
        <is>
          <t>Trải nghiệm trực quan cao.</t>
        </is>
      </c>
      <c r="G14" s="22" t="inlineStr">
        <is>
          <t>Pass</t>
        </is>
      </c>
      <c r="H14" s="23" t="inlineStr">
        <is>
          <t>26/09/2026</t>
        </is>
      </c>
      <c r="I14" s="21" t="inlineStr">
        <is>
          <t>UI 3-Level State</t>
        </is>
      </c>
    </row>
    <row r="15">
      <c r="A15" s="20" t="inlineStr">
        <is>
          <t>[Timer-05]</t>
        </is>
      </c>
      <c r="B15" s="21" t="inlineStr">
        <is>
          <t>Gia hạn giờ thuê thành công: Cộng nối tiếp không đè Date.now()</t>
        </is>
      </c>
      <c r="C15" s="21" t="inlineStr">
        <is>
          <t>Đơn thuê còn 30 phút, khách gia hạn thêm 1 giờ (15k).</t>
        </is>
      </c>
      <c r="D15" s="21" t="inlineStr">
        <is>
          <t>1. Bấm 'Gia hạn thêm giờ', xác nhận thanh toán.</t>
        </is>
      </c>
      <c r="E15" s="21" t="inlineStr">
        <is>
          <t>1. Ví bị trừ 15.000 VNĐ.
2. Mốc kết thúc (expiresAt) được cộng nối tiếp thêm 3.600s vào hạn cũ (lên 01:30:00, Fixed BUG-IT-002).</t>
        </is>
      </c>
      <c r="F15" s="21" t="inlineStr">
        <is>
          <t>Phiên chơi liền mạch không ngắt quãng.</t>
        </is>
      </c>
      <c r="G15" s="22" t="inlineStr">
        <is>
          <t>Pass</t>
        </is>
      </c>
      <c r="H15" s="23" t="inlineStr">
        <is>
          <t>26/09/2026</t>
        </is>
      </c>
      <c r="I15" s="21" t="inlineStr">
        <is>
          <t>Tích hợp ITC-04</t>
        </is>
      </c>
    </row>
    <row r="16">
      <c r="A16" s="20" t="inlineStr">
        <is>
          <t>[Timer-06]</t>
        </is>
      </c>
      <c r="B16" s="21" t="inlineStr">
        <is>
          <t>Tự động chuyển đơn hàng sang 'completed' khi hết giờ</t>
        </is>
      </c>
      <c r="C16" s="21" t="inlineStr">
        <is>
          <t>Đơn thuê đếm ngược về 00:00:00.</t>
        </is>
      </c>
      <c r="D16" s="21" t="inlineStr">
        <is>
          <t>1. Chờ hết giờ hoặc tua nhanh bằng fast forward.</t>
        </is>
      </c>
      <c r="E16" s="21" t="inlineStr">
        <is>
          <t>Đơn thuê tự động đổi trạng thái sang 'completed', đồng hồ dừng, thông báo hết phiên thuê.</t>
        </is>
      </c>
      <c r="F16" s="21" t="inlineStr">
        <is>
          <t>Thu hồi phiên chơi tự động.</t>
        </is>
      </c>
      <c r="G16" s="22" t="inlineStr">
        <is>
          <t>Pass</t>
        </is>
      </c>
      <c r="H16" s="23" t="inlineStr">
        <is>
          <t>26/09/2026</t>
        </is>
      </c>
      <c r="I16" s="21" t="inlineStr">
        <is>
          <t>Auto Expiration Transition</t>
        </is>
      </c>
    </row>
    <row r="17">
      <c r="A17" s="20" t="inlineStr">
        <is>
          <t>[Timer-07]</t>
        </is>
      </c>
      <c r="B17" s="21" t="inlineStr">
        <is>
          <t>Tự động sinh mật khẩu ngẫu nhiên mới bảo mật</t>
        </is>
      </c>
      <c r="C17" s="21" t="inlineStr">
        <is>
          <t>Đơn hàng vừa hoàn tất chu kỳ hết giờ.</t>
        </is>
      </c>
      <c r="D17" s="21" t="inlineStr">
        <is>
          <t>1. Hệ thống tự động kích hoạt hàm generateRandomPassword().</t>
        </is>
      </c>
      <c r="E17" s="21" t="inlineStr">
        <is>
          <t>Sinh mật khẩu ngẫu nhiên mới (12-14 ký tự gồm chữ hoa, thường, số, ký tự đặc biệt) đảm bảo khác mật khẩu cũ (Fixed BUG-IT-005).</t>
        </is>
      </c>
      <c r="F17" s="21" t="inlineStr">
        <is>
          <t>Bảo mật tài khoản tuyệt đối.</t>
        </is>
      </c>
      <c r="G17" s="22" t="inlineStr">
        <is>
          <t>Pass</t>
        </is>
      </c>
      <c r="H17" s="23" t="inlineStr">
        <is>
          <t>26/09/2026</t>
        </is>
      </c>
      <c r="I17" s="21" t="inlineStr">
        <is>
          <t>Tích hợp ITC-07</t>
        </is>
      </c>
    </row>
    <row r="18">
      <c r="A18" s="20" t="inlineStr">
        <is>
          <t>[Timer-08]</t>
        </is>
      </c>
      <c r="B18" s="21" t="inlineStr">
        <is>
          <t>Tự động đưa tài khoản game về trạng thái Available</t>
        </is>
      </c>
      <c r="C18" s="21" t="inlineStr">
        <is>
          <t>Hệ thống đổi mật khẩu mới xong.</t>
        </is>
      </c>
      <c r="D18" s="21" t="inlineStr">
        <is>
          <t>1. Kiểm tra trạng thái tài khoản trong kho hàng.</t>
        </is>
      </c>
      <c r="E18" s="21" t="inlineStr">
        <is>
          <t>Tài khoản game chuyển từ 'rented' sang 'available', mở nút 'Thuê ngay' cho khách tiếp theo.</t>
        </is>
      </c>
      <c r="F18" s="21" t="inlineStr">
        <is>
          <t>Chu trình tự động hóa 24/7 khép kín.</t>
        </is>
      </c>
      <c r="G18" s="22" t="inlineStr">
        <is>
          <t>Pass</t>
        </is>
      </c>
      <c r="H18" s="23" t="inlineStr">
        <is>
          <t>26/09/2026</t>
        </is>
      </c>
      <c r="I18" s="21" t="inlineStr">
        <is>
          <t>Ready for Next Renter</t>
        </is>
      </c>
    </row>
  </sheetData>
  <mergeCells count="5">
    <mergeCell ref="B4:F4"/>
    <mergeCell ref="E6:F6"/>
    <mergeCell ref="B2:F2"/>
    <mergeCell ref="B3:F3"/>
    <mergeCell ref="E5:F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I18"/>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Refund</t>
        </is>
      </c>
    </row>
    <row r="3" ht="35" customHeight="1">
      <c r="A3" s="5" t="inlineStr">
        <is>
          <t>Test requirement</t>
        </is>
      </c>
      <c r="B3" s="16" t="inlineStr">
        <is>
          <t>Kiểm thử hai chính sách bồi hoàn linh hoạt: Trả nick sớm hoàn 50% tiền thời gian thừa và Khách báo lỗi in-game được Admin duyệt bồi hoàn bảo hiểm 100%.</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[Refund-01]</t>
        </is>
      </c>
      <c r="B10" s="21" t="inlineStr">
        <is>
          <t>Gửi khiếu nại nhưng bỏ trống lý do sự cố</t>
        </is>
      </c>
      <c r="C10" s="21" t="inlineStr">
        <is>
          <t>Mở modal Khiếu nại (DisputeModal).</t>
        </is>
      </c>
      <c r="D10" s="21" t="inlineStr">
        <is>
          <t>1. Không nhập lý do sự cố
2. Bấm 'Gửi khiếu nại'.</t>
        </is>
      </c>
      <c r="E10" s="21" t="inlineStr">
        <is>
          <t>Hệ thống báo lỗi: "Vui lòng nhập chi tiết sự cố bạn gặp phải".</t>
        </is>
      </c>
      <c r="F10" s="21" t="inlineStr">
        <is>
          <t>Chặn gửi đơn khiếu nại.</t>
        </is>
      </c>
      <c r="G10" s="22" t="inlineStr">
        <is>
          <t>Pass</t>
        </is>
      </c>
      <c r="H10" s="23" t="inlineStr">
        <is>
          <t>26/09/2026</t>
        </is>
      </c>
      <c r="I10" s="21" t="inlineStr">
        <is>
          <t>Validation Dispute Reason</t>
        </is>
      </c>
    </row>
    <row r="11">
      <c r="A11" s="20" t="inlineStr">
        <is>
          <t>[Refund-02]</t>
        </is>
      </c>
      <c r="B11" s="21" t="inlineStr">
        <is>
          <t>Gửi khiếu nại sau khi đã quá hạn 15 phút đầu</t>
        </is>
      </c>
      <c r="C11" s="21" t="inlineStr">
        <is>
          <t>Đơn thuê đã chơi được 45 phút (&gt; 15 phút bảo hiểm).</t>
        </is>
      </c>
      <c r="D11" s="21" t="inlineStr">
        <is>
          <t>1. Bấm gửi khiếu nại đổi pass/lỗi nick.</t>
        </is>
      </c>
      <c r="E11" s="21" t="inlineStr">
        <is>
          <t>Hệ thống thông báo đã hết thời gian cam kết bảo hiểm 15 phút đầu, chuyển sang hỗ trợ hotline.</t>
        </is>
      </c>
      <c r="F11" s="21" t="inlineStr">
        <is>
          <t>Đảm bảo công bằng chống gian lận.</t>
        </is>
      </c>
      <c r="G11" s="22" t="inlineStr">
        <is>
          <t>Pass</t>
        </is>
      </c>
      <c r="H11" s="23" t="inlineStr">
        <is>
          <t>26/09/2026</t>
        </is>
      </c>
      <c r="I11" s="21" t="inlineStr">
        <is>
          <t>Policy 15-Minute Window</t>
        </is>
      </c>
    </row>
    <row r="12">
      <c r="A12" s="7" t="inlineStr"/>
      <c r="B12" s="19" t="inlineStr">
        <is>
          <t>Check Business</t>
        </is>
      </c>
      <c r="C12" s="7" t="n"/>
      <c r="D12" s="7" t="n"/>
      <c r="E12" s="7" t="n"/>
      <c r="F12" s="7" t="n"/>
      <c r="G12" s="7" t="n"/>
      <c r="H12" s="7" t="n"/>
      <c r="I12" s="7" t="n"/>
    </row>
    <row r="13">
      <c r="A13" s="20" t="inlineStr">
        <is>
          <t>[Refund-03]</t>
        </is>
      </c>
      <c r="B13" s="21" t="inlineStr">
        <is>
          <t>Trả nick sớm: Tính toán hoàn tiền 50% thời gian chưa sử dụng</t>
        </is>
      </c>
      <c r="C13" s="21" t="inlineStr">
        <is>
          <t>Đơn thuê 3 giờ (45.000 VNĐ), mới chơi 1 giờ, thời gian thừa 2 giờ.</t>
        </is>
      </c>
      <c r="D13" s="21" t="inlineStr">
        <is>
          <t>1. Khách bấm 'Trả Nick Sớm' tại ReturnEarlyModal.</t>
        </is>
      </c>
      <c r="E13" s="21" t="inlineStr">
        <is>
          <t>Hệ thống tính đúng số tiền hoàn: 2h x 15.000đ x 50% = 15.000 VNĐ.</t>
        </is>
      </c>
      <c r="F13" s="21" t="inlineStr">
        <is>
          <t>Công thức hoàn tiền chuẩn xác.</t>
        </is>
      </c>
      <c r="G13" s="22" t="inlineStr">
        <is>
          <t>Pass</t>
        </is>
      </c>
      <c r="H13" s="23" t="inlineStr">
        <is>
          <t>26/09/2026</t>
        </is>
      </c>
      <c r="I13" s="21" t="inlineStr">
        <is>
          <t>Formula 50% Refund</t>
        </is>
      </c>
    </row>
    <row r="14">
      <c r="A14" s="20" t="inlineStr">
        <is>
          <t>[Refund-04]</t>
        </is>
      </c>
      <c r="B14" s="21" t="inlineStr">
        <is>
          <t>Trả nick sớm: Cộng tiền vào ví và đổi trạng thái acc</t>
        </is>
      </c>
      <c r="C14" s="21" t="inlineStr">
        <is>
          <t>Xác nhận trả nick sớm.</t>
        </is>
      </c>
      <c r="D14" s="21" t="inlineStr">
        <is>
          <t>1. Bấm 'Xác Nhận Trả Sớm'.</t>
        </is>
      </c>
      <c r="E14" s="21" t="inlineStr">
        <is>
          <t>1. Ví khách được cộng ngay 15.000 VNĐ.
2. Đơn hàng chuyển sang 'completed'.
3. Acc chuyển sang 'need_change_pass' (Fixed BUG-IT-004).</t>
        </is>
      </c>
      <c r="F14" s="21" t="inlineStr">
        <is>
          <t>Khách nhận đủ tiền thừa.</t>
        </is>
      </c>
      <c r="G14" s="22" t="inlineStr">
        <is>
          <t>Pass</t>
        </is>
      </c>
      <c r="H14" s="23" t="inlineStr">
        <is>
          <t>26/09/2026</t>
        </is>
      </c>
      <c r="I14" s="21" t="inlineStr">
        <is>
          <t>Tích hợp ITC-06</t>
        </is>
      </c>
    </row>
    <row r="15">
      <c r="A15" s="20" t="inlineStr">
        <is>
          <t>[Refund-05]</t>
        </is>
      </c>
      <c r="B15" s="21" t="inlineStr">
        <is>
          <t>Khách gửi khiếu nại sự cố thành công trong 15 phút đầu</t>
        </is>
      </c>
      <c r="C15" s="21" t="inlineStr">
        <is>
          <t>Khách phát hiện acc bị sai mật khẩu hoặc dính 2FA.</t>
        </is>
      </c>
      <c r="D15" s="21" t="inlineStr">
        <is>
          <t>1. Nhập lý do: 'Mật khẩu in-game không đúng'
2. Bấm 'Gửi khiếu nại'.</t>
        </is>
      </c>
      <c r="E15" s="21" t="inlineStr">
        <is>
          <t>1. Đơn thuê chuyển sang trạng thái 'disputed'.
2. Thông báo yêu cầu đã chuyển đến Admin chờ giải quyết.</t>
        </is>
      </c>
      <c r="F15" s="21" t="inlineStr">
        <is>
          <t>Ghi nhận khiếu nại thành công.</t>
        </is>
      </c>
      <c r="G15" s="22" t="inlineStr">
        <is>
          <t>Pass</t>
        </is>
      </c>
      <c r="H15" s="23" t="inlineStr">
        <is>
          <t>26/09/2026</t>
        </is>
      </c>
      <c r="I15" s="21" t="inlineStr">
        <is>
          <t>Dispute Flow Trigger</t>
        </is>
      </c>
    </row>
    <row r="16">
      <c r="A16" s="20" t="inlineStr">
        <is>
          <t>[Refund-06]</t>
        </is>
      </c>
      <c r="B16" s="21" t="inlineStr">
        <is>
          <t>Admin phê duyệt khiếu nại: Bồi hoàn 100% tiền đơn vào ví khách</t>
        </is>
      </c>
      <c r="C16" s="21" t="inlineStr">
        <is>
          <t>Admin mở tab Khiếu nại trên OverviewDashboard.</t>
        </is>
      </c>
      <c r="D16" s="21" t="inlineStr">
        <is>
          <t>1. Xem đơn khiếu nại hợp lệ
2. Bấm 'Phê duyệt hoàn tiền 100%'.</t>
        </is>
      </c>
      <c r="E16" s="21" t="inlineStr">
        <is>
          <t>1. Đơn chuyển trạng thái 'refunded'.
2. Số dư ví khách được cộng lại đầy đủ 100% tiền thuê (Fixed BUG-IT-003).</t>
        </is>
      </c>
      <c r="F16" s="21" t="inlineStr">
        <is>
          <t>Bảo vệ quyền lợi khách hàng 100%.</t>
        </is>
      </c>
      <c r="G16" s="22" t="inlineStr">
        <is>
          <t>Pass</t>
        </is>
      </c>
      <c r="H16" s="23" t="inlineStr">
        <is>
          <t>26/09/2026</t>
        </is>
      </c>
      <c r="I16" s="21" t="inlineStr">
        <is>
          <t>Tích hợp ITC-05</t>
        </is>
      </c>
    </row>
    <row r="17">
      <c r="A17" s="20" t="inlineStr">
        <is>
          <t>[Refund-07]</t>
        </is>
      </c>
      <c r="B17" s="21" t="inlineStr">
        <is>
          <t>Admin phê duyệt khiếu nại: Cách ly tài khoản lỗi vào bảo trì</t>
        </is>
      </c>
      <c r="C17" s="21" t="inlineStr">
        <is>
          <t>Admin duyệt khiếu nại thành công.</t>
        </is>
      </c>
      <c r="D17" s="21" t="inlineStr">
        <is>
          <t>1. Kiểm tra trạng thái tài khoản game trong kho.</t>
        </is>
      </c>
      <c r="E17" s="21" t="inlineStr">
        <is>
          <t>Tài khoản game tự động đổi sang 'maintenance' (Bảo trì), không cho phép khách khác thuê để kỹ thuật kiểm tra.</t>
        </is>
      </c>
      <c r="F17" s="21" t="inlineStr">
        <is>
          <t>Cách ly tài khoản lỗi an toàn.</t>
        </is>
      </c>
      <c r="G17" s="22" t="inlineStr">
        <is>
          <t>Pass</t>
        </is>
      </c>
      <c r="H17" s="23" t="inlineStr">
        <is>
          <t>26/09/2026</t>
        </is>
      </c>
      <c r="I17" s="21" t="inlineStr">
        <is>
          <t>Isolation Security</t>
        </is>
      </c>
    </row>
    <row r="18">
      <c r="A18" s="20" t="inlineStr">
        <is>
          <t>[Refund-08]</t>
        </is>
      </c>
      <c r="B18" s="21" t="inlineStr">
        <is>
          <t>Admin từ chối khiếu nại khi phát hiện lý do gian lận</t>
        </is>
      </c>
      <c r="C18" s="21" t="inlineStr">
        <is>
          <t>Khách gửi lý do vu khống hoặc không hợp lệ.</t>
        </is>
      </c>
      <c r="D18" s="21" t="inlineStr">
        <is>
          <t>1. Admin bấm 'Từ chối khiếu nại'
2. Nhập lý do từ chối.</t>
        </is>
      </c>
      <c r="E18" s="21" t="inlineStr">
        <is>
          <t>Đơn thuê chuyển về 'active' hoặc 'rejected', số dư ví khách không hoàn lại, thông báo lý do cho khách.</t>
        </is>
      </c>
      <c r="F18" s="21" t="inlineStr">
        <is>
          <t>Kiểm soát rủi ro gian lận.</t>
        </is>
      </c>
      <c r="G18" s="22" t="inlineStr">
        <is>
          <t>Pass</t>
        </is>
      </c>
      <c r="H18" s="23" t="inlineStr">
        <is>
          <t>26/09/2026</t>
        </is>
      </c>
      <c r="I18" s="21" t="inlineStr">
        <is>
          <t>Reject Dispute Scenario</t>
        </is>
      </c>
    </row>
  </sheetData>
  <mergeCells count="5">
    <mergeCell ref="B4:F4"/>
    <mergeCell ref="E6:F6"/>
    <mergeCell ref="B2:F2"/>
    <mergeCell ref="B3:F3"/>
    <mergeCell ref="E5:F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I18"/>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Product</t>
        </is>
      </c>
    </row>
    <row r="3" ht="35" customHeight="1">
      <c r="A3" s="5" t="inlineStr">
        <is>
          <t>Test requirement</t>
        </is>
      </c>
      <c r="B3" s="16" t="inlineStr">
        <is>
          <t>Kiểm thử biểu mẫu Thêm mới tài khoản game theo tài liệu đặc tả đề bài UC1_Add New Product: áp dụng kỹ thuật BVA/EP kiểm thử giá trị biên và các quy tắc nghiệp vụ BR1-BR6.</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[Product-01]</t>
        </is>
      </c>
      <c r="B10" s="21" t="inlineStr">
        <is>
          <t>Tiêu đề tài khoản để trống (BR1)</t>
        </is>
      </c>
      <c r="C10" s="21" t="inlineStr">
        <is>
          <t>Admin mở modal Thêm tài khoản.</t>
        </is>
      </c>
      <c r="D10" s="21" t="inlineStr">
        <is>
          <t>1. Để trống Tiêu đề (title)
2. Nhập các trường khác hợp lệ
3. Bấm 'Lưu sản phẩm'.</t>
        </is>
      </c>
      <c r="E10" s="21" t="inlineStr">
        <is>
          <t>Báo lỗi: "Tiêu đề tài khoản không được để trống."</t>
        </is>
      </c>
      <c r="F10" s="21" t="inlineStr">
        <is>
          <t>Form giữ nguyên.</t>
        </is>
      </c>
      <c r="G10" s="22" t="inlineStr">
        <is>
          <t>Pass</t>
        </is>
      </c>
      <c r="H10" s="23" t="inlineStr">
        <is>
          <t>26/09/2026</t>
        </is>
      </c>
      <c r="I10" s="21" t="inlineStr">
        <is>
          <t>BR1 Validation F_ADM_PROD</t>
        </is>
      </c>
    </row>
    <row r="11">
      <c r="A11" s="20" t="inlineStr">
        <is>
          <t>[Product-02]</t>
        </is>
      </c>
      <c r="B11" s="21" t="inlineStr">
        <is>
          <t>Giá thuê dưới 5.000 VNĐ (BVA BR3)</t>
        </is>
      </c>
      <c r="C11" s="21" t="inlineStr">
        <is>
          <t>Admin mở modal Thêm tài khoản.</t>
        </is>
      </c>
      <c r="D11" s="21" t="inlineStr">
        <is>
          <t>1. Nhập Giá thuê: 4.000 VNĐ (dưới biên 5k)
2. Bấm 'Lưu sản phẩm'.</t>
        </is>
      </c>
      <c r="E11" s="21" t="inlineStr">
        <is>
          <t>Báo lỗi: "Giá thuê mỗi giờ phải từ 5.000 VNĐ đến 100.000 VNĐ."</t>
        </is>
      </c>
      <c r="F11" s="21" t="inlineStr">
        <is>
          <t>Form giữ nguyên.</t>
        </is>
      </c>
      <c r="G11" s="22" t="inlineStr">
        <is>
          <t>Pass</t>
        </is>
      </c>
      <c r="H11" s="23" t="inlineStr">
        <is>
          <t>26/09/2026</t>
        </is>
      </c>
      <c r="I11" s="21" t="inlineStr">
        <is>
          <t>BR3 BVA Biên dưới</t>
        </is>
      </c>
    </row>
    <row r="12">
      <c r="A12" s="20" t="inlineStr">
        <is>
          <t>[Product-03]</t>
        </is>
      </c>
      <c r="B12" s="21" t="inlineStr">
        <is>
          <t>Giá thuê vượt quá 100.000 VNĐ (BVA BR3)</t>
        </is>
      </c>
      <c r="C12" s="21" t="inlineStr">
        <is>
          <t>Admin mở modal Thêm tài khoản.</t>
        </is>
      </c>
      <c r="D12" s="21" t="inlineStr">
        <is>
          <t>1. Nhập Giá thuê: 105.000 VNĐ (vượt biên 100k)
2. Bấm 'Lưu sản phẩm'.</t>
        </is>
      </c>
      <c r="E12" s="21" t="inlineStr">
        <is>
          <t>Báo lỗi: "Giá thuê mỗi giờ phải từ 5.000 VNĐ đến 100.000 VNĐ."</t>
        </is>
      </c>
      <c r="F12" s="21" t="inlineStr">
        <is>
          <t>Form giữ nguyên.</t>
        </is>
      </c>
      <c r="G12" s="22" t="inlineStr">
        <is>
          <t>Pass</t>
        </is>
      </c>
      <c r="H12" s="23" t="inlineStr">
        <is>
          <t>26/09/2026</t>
        </is>
      </c>
      <c r="I12" s="21" t="inlineStr">
        <is>
          <t>BR3 BVA Biên trên</t>
        </is>
      </c>
    </row>
    <row r="13">
      <c r="A13" s="20" t="inlineStr">
        <is>
          <t>[Product-04]</t>
        </is>
      </c>
      <c r="B13" s="21" t="inlineStr">
        <is>
          <t>Mật khẩu in-game dưới 6 ký tự (BR4)</t>
        </is>
      </c>
      <c r="C13" s="21" t="inlineStr">
        <is>
          <t>Admin mở modal Thêm tài khoản.</t>
        </is>
      </c>
      <c r="D13" s="21" t="inlineStr">
        <is>
          <t>1. Nhập Mật khẩu in-game: 'abc' (3 ký tự)
2. Bấm 'Lưu sản phẩm'.</t>
        </is>
      </c>
      <c r="E13" s="21" t="inlineStr">
        <is>
          <t>Báo lỗi: "Mật khẩu in-game phải có độ dài tối thiểu 6 ký tự."</t>
        </is>
      </c>
      <c r="F13" s="21" t="inlineStr">
        <is>
          <t>Form giữ nguyên.</t>
        </is>
      </c>
      <c r="G13" s="22" t="inlineStr">
        <is>
          <t>Pass</t>
        </is>
      </c>
      <c r="H13" s="23" t="inlineStr">
        <is>
          <t>26/09/2026</t>
        </is>
      </c>
      <c r="I13" s="21" t="inlineStr">
        <is>
          <t>BR4 Validation</t>
        </is>
      </c>
    </row>
    <row r="14">
      <c r="A14" s="7" t="inlineStr"/>
      <c r="B14" s="19" t="inlineStr">
        <is>
          <t>Check Business</t>
        </is>
      </c>
      <c r="C14" s="7" t="n"/>
      <c r="D14" s="7" t="n"/>
      <c r="E14" s="7" t="n"/>
      <c r="F14" s="7" t="n"/>
      <c r="G14" s="7" t="n"/>
      <c r="H14" s="7" t="n"/>
      <c r="I14" s="7" t="n"/>
    </row>
    <row r="15">
      <c r="A15" s="20" t="inlineStr">
        <is>
          <t>[Product-05]</t>
        </is>
      </c>
      <c r="B15" s="21" t="inlineStr">
        <is>
          <t>Thêm mới tài khoản game thành công chuẩn UC1</t>
        </is>
      </c>
      <c r="C15" s="21" t="inlineStr">
        <is>
          <t>Admin điền đầy đủ thông tin hợp lệ (Game, Title, Rank, Giá 15k, Pass in-game, Ảnh bìa).</t>
        </is>
      </c>
      <c r="D15" s="21" t="inlineStr">
        <is>
          <t>1. Bấm 'Thêm tài khoản vào kho'.</t>
        </is>
      </c>
      <c r="E15" s="21" t="inlineStr">
        <is>
          <t>1. Hệ thống sinh mã tài khoản mới ACC-XXX.
2. Trạng thái khởi tạo là 'available'.
3. Modal đóng lại, toast thông báo thành công.</t>
        </is>
      </c>
      <c r="F15" s="21" t="inlineStr">
        <is>
          <t>Tài khoản mới được ghi nhận.</t>
        </is>
      </c>
      <c r="G15" s="22" t="inlineStr">
        <is>
          <t>Pass</t>
        </is>
      </c>
      <c r="H15" s="23" t="inlineStr">
        <is>
          <t>26/09/2026</t>
        </is>
      </c>
      <c r="I15" s="21" t="inlineStr">
        <is>
          <t>UC1 Happy Path</t>
        </is>
      </c>
    </row>
    <row r="16">
      <c r="A16" s="20" t="inlineStr">
        <is>
          <t>[Product-06]</t>
        </is>
      </c>
      <c r="B16" s="21" t="inlineStr">
        <is>
          <t>Tài khoản mới tạo xuất hiện ngay lập tức trên trang chủ</t>
        </is>
      </c>
      <c r="C16" s="21" t="inlineStr">
        <is>
          <t>Admin thêm acc mới thành công.</t>
        </is>
      </c>
      <c r="D16" s="21" t="inlineStr">
        <is>
          <t>1. Ra trang chủ (Home Page) hoặc lọc theo game.</t>
        </is>
      </c>
      <c r="E16" s="21" t="inlineStr">
        <is>
          <t>Thẻ tài khoản mới xuất hiện đầy đủ tên game, rank, ảnh bìa, giá thuê 15k/h và nút 'Thuê ngay'.</t>
        </is>
      </c>
      <c r="F16" s="21" t="inlineStr">
        <is>
          <t>Đồng bộ giao diện khách tức thì.</t>
        </is>
      </c>
      <c r="G16" s="22" t="inlineStr">
        <is>
          <t>Pass</t>
        </is>
      </c>
      <c r="H16" s="23" t="inlineStr">
        <is>
          <t>26/09/2026</t>
        </is>
      </c>
      <c r="I16" s="21" t="inlineStr">
        <is>
          <t>Realtime Catalog Update</t>
        </is>
      </c>
    </row>
    <row r="17">
      <c r="A17" s="20" t="inlineStr">
        <is>
          <t>[Product-07]</t>
        </is>
      </c>
      <c r="B17" s="21" t="inlineStr">
        <is>
          <t>Kiểm tra phân quyền: Khách thường không được vào form thêm nick</t>
        </is>
      </c>
      <c r="C17" s="21" t="inlineStr">
        <is>
          <t>Người dùng đang đăng nhập với quyền Renter.</t>
        </is>
      </c>
      <c r="D17" s="21" t="inlineStr">
        <is>
          <t>1. Cố ý điều hướng vào URL Admin hoặc mở modal Thêm nick.</t>
        </is>
      </c>
      <c r="E17" s="21" t="inlineStr">
        <is>
          <t>Hệ thống chặn truy cập, chuyển hướng về trang chủ hoặc thông báo không có quyền.</t>
        </is>
      </c>
      <c r="F17" s="21" t="inlineStr">
        <is>
          <t>Bảo mật phân quyền RBAC.</t>
        </is>
      </c>
      <c r="G17" s="22" t="inlineStr">
        <is>
          <t>Pass</t>
        </is>
      </c>
      <c r="H17" s="23" t="inlineStr">
        <is>
          <t>26/09/2026</t>
        </is>
      </c>
      <c r="I17" s="21" t="inlineStr">
        <is>
          <t>Security Access Control</t>
        </is>
      </c>
    </row>
    <row r="18">
      <c r="A18" s="20" t="inlineStr">
        <is>
          <t>[Product-08]</t>
        </is>
      </c>
      <c r="B18" s="21" t="inlineStr">
        <is>
          <t>Xử lý tải ảnh đại diện sản phẩm từ máy tính</t>
        </is>
      </c>
      <c r="C18" s="21" t="inlineStr">
        <is>
          <t>Admin thêm tài khoản.</t>
        </is>
      </c>
      <c r="D18" s="21" t="inlineStr">
        <is>
          <t>1. Chọn ảnh bìa định dạng JPG/PNG dung lượng hợp lệ
2. Xem khung preview ảnh.</t>
        </is>
      </c>
      <c r="E18" s="21" t="inlineStr">
        <is>
          <t>Ảnh hiển thị preview sắc nét, form chấp nhận dữ liệu Base64/URL.</t>
        </is>
      </c>
      <c r="F18" s="21" t="inlineStr">
        <is>
          <t>Hỗ trợ media sản phẩm.</t>
        </is>
      </c>
      <c r="G18" s="22" t="inlineStr">
        <is>
          <t>Pass</t>
        </is>
      </c>
      <c r="H18" s="23" t="inlineStr">
        <is>
          <t>26/09/2026</t>
        </is>
      </c>
      <c r="I18" s="21" t="inlineStr">
        <is>
          <t>Image Upload Capability</t>
        </is>
      </c>
    </row>
  </sheetData>
  <mergeCells count="5">
    <mergeCell ref="B4:F4"/>
    <mergeCell ref="E6:F6"/>
    <mergeCell ref="B2:F2"/>
    <mergeCell ref="B3:F3"/>
    <mergeCell ref="E5:F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I17"/>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Customer</t>
        </is>
      </c>
    </row>
    <row r="3" ht="35" customHeight="1">
      <c r="A3" s="5" t="inlineStr">
        <is>
          <t>Test requirement</t>
        </is>
      </c>
      <c r="B3" s="16" t="inlineStr">
        <is>
          <t>Kiểm thử phân hệ Quản lý khách hàng (CRM): kiểm tra tính năng tra cứu, lọc danh sách, xem chi tiết lịch sử thuê, khóa tài khoản vi phạm và đồng bộ dữ liệu tập trung.</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[Customer-01]</t>
        </is>
      </c>
      <c r="B10" s="21" t="inlineStr">
        <is>
          <t>Tìm kiếm với từ khóa không tồn tại</t>
        </is>
      </c>
      <c r="C10" s="21" t="inlineStr">
        <is>
          <t>Admin mở trang Quản lý khách hàng.</t>
        </is>
      </c>
      <c r="D10" s="21" t="inlineStr">
        <is>
          <t>1. Nhập từ khóa tìm kiếm: 'xyz_unknown_999'
2. Quan sát kết quả.</t>
        </is>
      </c>
      <c r="E10" s="21" t="inlineStr">
        <is>
          <t>Bảng hiển thị thông báo: "Không tìm thấy khách hàng nào phù hợp".</t>
        </is>
      </c>
      <c r="F10" s="21" t="inlineStr">
        <is>
          <t>Xử lý tìm kiếm rỗng an toàn.</t>
        </is>
      </c>
      <c r="G10" s="22" t="inlineStr">
        <is>
          <t>Pass</t>
        </is>
      </c>
      <c r="H10" s="23" t="inlineStr">
        <is>
          <t>26/09/2026</t>
        </is>
      </c>
      <c r="I10" s="21" t="inlineStr">
        <is>
          <t>Empty State Handling</t>
        </is>
      </c>
    </row>
    <row r="11">
      <c r="A11" s="20" t="inlineStr">
        <is>
          <t>[Customer-02]</t>
        </is>
      </c>
      <c r="B11" s="21" t="inlineStr">
        <is>
          <t>Cập nhật số điện thoại sai định dạng</t>
        </is>
      </c>
      <c r="C11" s="21" t="inlineStr">
        <is>
          <t>Mở modal chỉnh sửa khách hàng.</t>
        </is>
      </c>
      <c r="D11" s="21" t="inlineStr">
        <is>
          <t>1. Nhập SĐT: '0912abc' (chứa chữ cái)
2. Bấm 'Lưu thay đổi'.</t>
        </is>
      </c>
      <c r="E11" s="21" t="inlineStr">
        <is>
          <t>Báo lỗi: "Số điện thoại không hợp lệ (phải gồm 10 chữ số)".</t>
        </is>
      </c>
      <c r="F11" s="21" t="inlineStr">
        <is>
          <t>Chặn lưu dữ liệu sai.</t>
        </is>
      </c>
      <c r="G11" s="22" t="inlineStr">
        <is>
          <t>Pass</t>
        </is>
      </c>
      <c r="H11" s="23" t="inlineStr">
        <is>
          <t>26/09/2026</t>
        </is>
      </c>
      <c r="I11" s="21" t="inlineStr">
        <is>
          <t>Phone Validation</t>
        </is>
      </c>
    </row>
    <row r="12">
      <c r="A12" s="7" t="inlineStr"/>
      <c r="B12" s="19" t="inlineStr">
        <is>
          <t>Check Business</t>
        </is>
      </c>
      <c r="C12" s="7" t="n"/>
      <c r="D12" s="7" t="n"/>
      <c r="E12" s="7" t="n"/>
      <c r="F12" s="7" t="n"/>
      <c r="G12" s="7" t="n"/>
      <c r="H12" s="7" t="n"/>
      <c r="I12" s="7" t="n"/>
    </row>
    <row r="13">
      <c r="A13" s="20" t="inlineStr">
        <is>
          <t>[Customer-03]</t>
        </is>
      </c>
      <c r="B13" s="21" t="inlineStr">
        <is>
          <t>Tra cứu và lọc khách hàng theo tên, email, trạng thái</t>
        </is>
      </c>
      <c r="C13" s="21" t="inlineStr">
        <is>
          <t>Trang Quản lý khách hàng đang hiển thị.</t>
        </is>
      </c>
      <c r="D13" s="21" t="inlineStr">
        <is>
          <t>1. Lọc theo trạng thái 'Active'
2. Tìm kiếm 'Nguyễn Văn Hùng'.</t>
        </is>
      </c>
      <c r="E13" s="21" t="inlineStr">
        <is>
          <t>Bảng lọc chuẩn xác dòng thông tin khách hàng KH002 kèm email hung.nguyen@gmail.com.</t>
        </is>
      </c>
      <c r="F13" s="21" t="inlineStr">
        <is>
          <t>Tìm kiếm thời gian thực nhạy bén.</t>
        </is>
      </c>
      <c r="G13" s="22" t="inlineStr">
        <is>
          <t>Pass</t>
        </is>
      </c>
      <c r="H13" s="23" t="inlineStr">
        <is>
          <t>26/09/2026</t>
        </is>
      </c>
      <c r="I13" s="21" t="inlineStr">
        <is>
          <t>Search &amp; Filter Feature</t>
        </is>
      </c>
    </row>
    <row r="14">
      <c r="A14" s="20" t="inlineStr">
        <is>
          <t>[Customer-04]</t>
        </is>
      </c>
      <c r="B14" s="21" t="inlineStr">
        <is>
          <t>Hiển thị chuẩn xác tổng chi tiêu và số đơn hàng đã thuê</t>
        </is>
      </c>
      <c r="C14" s="21" t="inlineStr">
        <is>
          <t>Xem thông tin khách hàng KH002.</t>
        </is>
      </c>
      <c r="D14" s="21" t="inlineStr">
        <is>
          <t>1. Đối chiếu tổng số đơn và chi tiêu trên hệ thống.</t>
        </is>
      </c>
      <c r="E14" s="21" t="inlineStr">
        <is>
          <t>Số đơn hiển thị đúng '8 đơn', tổng chi tiêu đúng '165.000 VNĐ'.</t>
        </is>
      </c>
      <c r="F14" s="21" t="inlineStr">
        <is>
          <t>Thống kê dữ liệu tài chính chính xác.</t>
        </is>
      </c>
      <c r="G14" s="22" t="inlineStr">
        <is>
          <t>Pass</t>
        </is>
      </c>
      <c r="H14" s="23" t="inlineStr">
        <is>
          <t>26/09/2026</t>
        </is>
      </c>
      <c r="I14" s="21" t="inlineStr">
        <is>
          <t>Metrics Accuracy</t>
        </is>
      </c>
    </row>
    <row r="15">
      <c r="A15" s="20" t="inlineStr">
        <is>
          <t>[Customer-05]</t>
        </is>
      </c>
      <c r="B15" s="21" t="inlineStr">
        <is>
          <t>Khóa tài khoản khách hàng có hành vi vi phạm (isBlocked = true)</t>
        </is>
      </c>
      <c r="C15" s="21" t="inlineStr">
        <is>
          <t>Admin phát hiện khách có hành vi phá hoại.</t>
        </is>
      </c>
      <c r="D15" s="21" t="inlineStr">
        <is>
          <t>1. Bấm nút 'Khóa tài khoản'
2. Xác nhận khóa.</t>
        </is>
      </c>
      <c r="E15" s="21" t="inlineStr">
        <is>
          <t>1. Status khách hàng đổi sang 'blocked'.
2. Khách hàng này bị chặn đăng nhập ngay lập tức.</t>
        </is>
      </c>
      <c r="F15" s="21" t="inlineStr">
        <is>
          <t>Kiểm soát an ninh tài khoản.</t>
        </is>
      </c>
      <c r="G15" s="22" t="inlineStr">
        <is>
          <t>Pass</t>
        </is>
      </c>
      <c r="H15" s="23" t="inlineStr">
        <is>
          <t>26/09/2026</t>
        </is>
      </c>
      <c r="I15" s="21" t="inlineStr">
        <is>
          <t>Block User Flow</t>
        </is>
      </c>
    </row>
    <row r="16">
      <c r="A16" s="20" t="inlineStr">
        <is>
          <t>[Customer-06]</t>
        </is>
      </c>
      <c r="B16" s="21" t="inlineStr">
        <is>
          <t>Mở khóa tài khoản khách hàng khi hết thời hạn xử phạt</t>
        </is>
      </c>
      <c r="C16" s="21" t="inlineStr">
        <is>
          <t>Khách hàng đang ở trạng thái 'blocked'.</t>
        </is>
      </c>
      <c r="D16" s="21" t="inlineStr">
        <is>
          <t>1. Admin bấm nút 'Mở khóa'
2. Xác nhận.</t>
        </is>
      </c>
      <c r="E16" s="21" t="inlineStr">
        <is>
          <t>Status khách hàng đổi về 'active', khôi phục quyền đăng nhập và thuê nick bình thường.</t>
        </is>
      </c>
      <c r="F16" s="21" t="inlineStr">
        <is>
          <t>Mở khóa linh hoạt.</t>
        </is>
      </c>
      <c r="G16" s="22" t="inlineStr">
        <is>
          <t>Pass</t>
        </is>
      </c>
      <c r="H16" s="23" t="inlineStr">
        <is>
          <t>26/09/2026</t>
        </is>
      </c>
      <c r="I16" s="21" t="inlineStr">
        <is>
          <t>Unblock User Flow</t>
        </is>
      </c>
    </row>
    <row r="17">
      <c r="A17" s="20" t="inlineStr">
        <is>
          <t>[Customer-07]</t>
        </is>
      </c>
      <c r="B17" s="21" t="inlineStr">
        <is>
          <t>Đồng bộ tự động khi khách hàng mới đăng ký tài khoản</t>
        </is>
      </c>
      <c r="C17" s="21" t="inlineStr">
        <is>
          <t>Khách hàng đăng ký tài khoản mới ngoài trang chủ.</t>
        </is>
      </c>
      <c r="D17" s="21" t="inlineStr">
        <is>
          <t>1. Admin đang mở tab Khách hàng.</t>
        </is>
      </c>
      <c r="E17" s="21" t="inlineStr">
        <is>
          <t>Khách hàng mới xuất hiện ngay lập tức trên bảng quản trị mà không cần reload trang.</t>
        </is>
      </c>
      <c r="F17" s="21" t="inlineStr">
        <is>
          <t>Đồng bộ trạng thái Client-Admin.</t>
        </is>
      </c>
      <c r="G17" s="22" t="inlineStr">
        <is>
          <t>Pass</t>
        </is>
      </c>
      <c r="H17" s="23" t="inlineStr">
        <is>
          <t>26/09/2026</t>
        </is>
      </c>
      <c r="I17" s="21" t="inlineStr">
        <is>
          <t>Tích hợp ITC-08</t>
        </is>
      </c>
    </row>
  </sheetData>
  <mergeCells count="5">
    <mergeCell ref="B4:F4"/>
    <mergeCell ref="E6:F6"/>
    <mergeCell ref="B2:F2"/>
    <mergeCell ref="B3:F3"/>
    <mergeCell ref="E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I16"/>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Favorites</t>
        </is>
      </c>
    </row>
    <row r="3" ht="35" customHeight="1">
      <c r="A3" s="5" t="inlineStr">
        <is>
          <t>Test requirement</t>
        </is>
      </c>
      <c r="B3" s="16" t="inlineStr">
        <is>
          <t>Kiểm thử cơ chế Danh sách yêu thích độc lập (Favorites Separation): đảm bảo mỗi người dùng có danh sách lưu trữ riêng biệt trên LocalStorage, không bị lộ hay ghi đè lẫn nhau.</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[Favorites-01]</t>
        </is>
      </c>
      <c r="B10" s="21" t="inlineStr">
        <is>
          <t>Nhấn yêu thích khi chưa đăng nhập hệ thống</t>
        </is>
      </c>
      <c r="C10" s="21" t="inlineStr">
        <is>
          <t>Người dùng ở trạng thái Guest (Chưa đăng nhập).</t>
        </is>
      </c>
      <c r="D10" s="21" t="inlineStr">
        <is>
          <t>1. Bấm vào icon trái tim trên thẻ tài khoản game.</t>
        </is>
      </c>
      <c r="E10" s="21" t="inlineStr">
        <is>
          <t>Hệ thống tự động hiển thị modal Đăng nhập (AuthModal) yêu cầu xác thực tài khoản.</t>
        </is>
      </c>
      <c r="F10" s="21" t="inlineStr">
        <is>
          <t>Chặn thao tác người dùng ẩn danh.</t>
        </is>
      </c>
      <c r="G10" s="22" t="inlineStr">
        <is>
          <t>Pass</t>
        </is>
      </c>
      <c r="H10" s="23" t="inlineStr">
        <is>
          <t>26/09/2026</t>
        </is>
      </c>
      <c r="I10" s="21" t="inlineStr">
        <is>
          <t>Auth Guard for Favorites</t>
        </is>
      </c>
    </row>
    <row r="11">
      <c r="A11" s="7" t="inlineStr"/>
      <c r="B11" s="19" t="inlineStr">
        <is>
          <t>Check Business</t>
        </is>
      </c>
      <c r="C11" s="7" t="n"/>
      <c r="D11" s="7" t="n"/>
      <c r="E11" s="7" t="n"/>
      <c r="F11" s="7" t="n"/>
      <c r="G11" s="7" t="n"/>
      <c r="H11" s="7" t="n"/>
      <c r="I11" s="7" t="n"/>
    </row>
    <row r="12">
      <c r="A12" s="20" t="inlineStr">
        <is>
          <t>[Favorites-02]</t>
        </is>
      </c>
      <c r="B12" s="21" t="inlineStr">
        <is>
          <t>Thêm tài khoản vào danh sách yêu thích thành công</t>
        </is>
      </c>
      <c r="C12" s="21" t="inlineStr">
        <is>
          <t>Khách hàng 'renter01' đã đăng nhập.</t>
        </is>
      </c>
      <c r="D12" s="21" t="inlineStr">
        <is>
          <t>1. Bấm icon trái tim trên acc ACC-VAL-01.</t>
        </is>
      </c>
      <c r="E12" s="21" t="inlineStr">
        <is>
          <t>1. Icon trái tim lập tức chuyển sang màu Đỏ.
2. Acc được thêm vào mảng yêu thích của renter01.</t>
        </is>
      </c>
      <c r="F12" s="21" t="inlineStr">
        <is>
          <t>Yêu thích thành công.</t>
        </is>
      </c>
      <c r="G12" s="22" t="inlineStr">
        <is>
          <t>Pass</t>
        </is>
      </c>
      <c r="H12" s="23" t="inlineStr">
        <is>
          <t>26/09/2026</t>
        </is>
      </c>
      <c r="I12" s="21" t="inlineStr">
        <is>
          <t>Add Favorite Action</t>
        </is>
      </c>
    </row>
    <row r="13">
      <c r="A13" s="20" t="inlineStr">
        <is>
          <t>[Favorites-03]</t>
        </is>
      </c>
      <c r="B13" s="21" t="inlineStr">
        <is>
          <t>Bỏ thích tài khoản khỏi danh sách</t>
        </is>
      </c>
      <c r="C13" s="21" t="inlineStr">
        <is>
          <t>Tài khoản đang có icon tim màu đỏ.</t>
        </is>
      </c>
      <c r="D13" s="21" t="inlineStr">
        <is>
          <t>1. Bấm lại vào icon trái tim.</t>
        </is>
      </c>
      <c r="E13" s="21" t="inlineStr">
        <is>
          <t>1. Icon trái tim chuyển về màu xám viền mỏng.
2. Acc bị xóa khỏi danh sách yêu thích.</t>
        </is>
      </c>
      <c r="F13" s="21" t="inlineStr">
        <is>
          <t>Bỏ yêu thích thành công.</t>
        </is>
      </c>
      <c r="G13" s="22" t="inlineStr">
        <is>
          <t>Pass</t>
        </is>
      </c>
      <c r="H13" s="23" t="inlineStr">
        <is>
          <t>26/09/2026</t>
        </is>
      </c>
      <c r="I13" s="21" t="inlineStr">
        <is>
          <t>Remove Favorite Action</t>
        </is>
      </c>
    </row>
    <row r="14">
      <c r="A14" s="20" t="inlineStr">
        <is>
          <t>[Favorites-04]</t>
        </is>
      </c>
      <c r="B14" s="21" t="inlineStr">
        <is>
          <t>Phân tách độc lập key lưu trữ theo tài khoản trong LocalStorage</t>
        </is>
      </c>
      <c r="C14" s="21" t="inlineStr">
        <is>
          <t>Hai người dùng renter01 và admin cùng thao tác.</t>
        </is>
      </c>
      <c r="D14" s="21" t="inlineStr">
        <is>
          <t>1. 'renter01' thích ACC01, ACC02.
2. 'admin' thích ACC03.
3. Kiểm tra LocalStorage.</t>
        </is>
      </c>
      <c r="E14" s="21" t="inlineStr">
        <is>
          <t>LocalStorage lưu 2 key hoàn toàn riêng biệt: 'gamerent_favorites_renter01' và 'gamerent_favorites_admin'.</t>
        </is>
      </c>
      <c r="F14" s="21" t="inlineStr">
        <is>
          <t>Tách biệt dữ liệu tuyệt đối.</t>
        </is>
      </c>
      <c r="G14" s="22" t="inlineStr">
        <is>
          <t>Pass</t>
        </is>
      </c>
      <c r="H14" s="23" t="inlineStr">
        <is>
          <t>26/09/2026</t>
        </is>
      </c>
      <c r="I14" s="21" t="inlineStr">
        <is>
          <t>Tích hợp ITC-09</t>
        </is>
      </c>
    </row>
    <row r="15">
      <c r="A15" s="20" t="inlineStr">
        <is>
          <t>[Favorites-05]</t>
        </is>
      </c>
      <c r="B15" s="21" t="inlineStr">
        <is>
          <t>Kiểm tra không bị ghi đè dữ liệu khi chuyển đổi tài khoản</t>
        </is>
      </c>
      <c r="C15" s="21" t="inlineStr">
        <is>
          <t>Đăng xuất tài khoản này và đăng nhập tài khoản khác.</t>
        </is>
      </c>
      <c r="D15" s="21" t="inlineStr">
        <is>
          <t>1. Đăng nhập lại 'renter01'.</t>
        </is>
      </c>
      <c r="E15" s="21" t="inlineStr">
        <is>
          <t>Chỉ hiển thị danh sách của renter01 (ACC01, ACC02), không thấy ACC03 của admin.</t>
        </is>
      </c>
      <c r="F15" s="21" t="inlineStr">
        <is>
          <t>Bảo mật thông tin cá nhân hóa.</t>
        </is>
      </c>
      <c r="G15" s="22" t="inlineStr">
        <is>
          <t>Pass</t>
        </is>
      </c>
      <c r="H15" s="23" t="inlineStr">
        <is>
          <t>26/09/2026</t>
        </is>
      </c>
      <c r="I15" s="21" t="inlineStr">
        <is>
          <t>Unit test F_FAV_SEP</t>
        </is>
      </c>
    </row>
    <row r="16">
      <c r="A16" s="20" t="inlineStr">
        <is>
          <t>[Favorites-06]</t>
        </is>
      </c>
      <c r="B16" s="21" t="inlineStr">
        <is>
          <t>Duy trì danh sách yêu thích khi tải lại trang (F5 / Reload)</t>
        </is>
      </c>
      <c r="C16" s="21" t="inlineStr">
        <is>
          <t>Đang lưu 2 tài khoản yêu thích.</t>
        </is>
      </c>
      <c r="D16" s="21" t="inlineStr">
        <is>
          <t>1. Nhấn F5 tải lại toàn bộ trang web.</t>
        </is>
      </c>
      <c r="E16" s="21" t="inlineStr">
        <is>
          <t>Các icon trái tim vẫn giữ nguyên màu đỏ, danh sách yêu thích không bị mất.</t>
        </is>
      </c>
      <c r="F16" s="21" t="inlineStr">
        <is>
          <t>Bảo toàn trạng thái LocalStorage.</t>
        </is>
      </c>
      <c r="G16" s="22" t="inlineStr">
        <is>
          <t>Pass</t>
        </is>
      </c>
      <c r="H16" s="23" t="inlineStr">
        <is>
          <t>26/09/2026</t>
        </is>
      </c>
      <c r="I16" s="21" t="inlineStr">
        <is>
          <t>Persistence Check</t>
        </is>
      </c>
    </row>
  </sheetData>
  <mergeCells count="5">
    <mergeCell ref="B4:F4"/>
    <mergeCell ref="E6:F6"/>
    <mergeCell ref="B2:F2"/>
    <mergeCell ref="B3:F3"/>
    <mergeCell ref="E5:F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I16"/>
  <sheetViews>
    <sheetView workbookViewId="0">
      <selection activeCell="A1" sqref="A1"/>
    </sheetView>
  </sheetViews>
  <sheetFormatPr baseColWidth="8" defaultRowHeight="15"/>
  <cols>
    <col width="13" customWidth="1" min="1" max="1"/>
    <col width="28" customWidth="1" min="2" max="2"/>
    <col width="28" customWidth="1" min="3" max="3"/>
    <col width="36" customWidth="1" min="4" max="4"/>
    <col width="38" customWidth="1" min="5" max="5"/>
    <col width="26" customWidth="1" min="6" max="6"/>
    <col width="10" customWidth="1" min="7" max="7"/>
    <col width="13" customWidth="1" min="8" max="8"/>
    <col width="26" customWidth="1" min="9" max="9"/>
  </cols>
  <sheetData>
    <row r="2">
      <c r="A2" s="5" t="inlineStr">
        <is>
          <t>Module Code</t>
        </is>
      </c>
      <c r="B2" s="15" t="inlineStr">
        <is>
          <t>ChangePass</t>
        </is>
      </c>
    </row>
    <row r="3" ht="35" customHeight="1">
      <c r="A3" s="5" t="inlineStr">
        <is>
          <t>Test requirement</t>
        </is>
      </c>
      <c r="B3" s="16" t="inlineStr">
        <is>
          <t>Kiểm thử chức năng Đổi mật khẩu cá nhân (Change Password): kiểm tra xác thực mật khẩu hiện tại, độ mạnh mật khẩu mới, kiểm tra mật khẩu xác nhận và cập nhật bảo mật an toàn.</t>
        </is>
      </c>
    </row>
    <row r="4">
      <c r="A4" s="5" t="inlineStr">
        <is>
          <t>Tester</t>
        </is>
      </c>
      <c r="B4" s="17" t="inlineStr">
        <is>
          <t>Nhóm 15 (Lê Minh Quân, Lê Hải Đăng, Lê Xuân Đạt, Lê Thanh Tùng)</t>
        </is>
      </c>
    </row>
    <row r="5">
      <c r="A5" s="6" t="inlineStr">
        <is>
          <t>Pass</t>
        </is>
      </c>
      <c r="B5" s="6" t="inlineStr">
        <is>
          <t>Fail</t>
        </is>
      </c>
      <c r="C5" s="6" t="inlineStr">
        <is>
          <t>Untested</t>
        </is>
      </c>
      <c r="D5" s="6" t="inlineStr">
        <is>
          <t>N/A</t>
        </is>
      </c>
      <c r="E5" s="6" t="inlineStr">
        <is>
          <t>Number of Test cases</t>
        </is>
      </c>
      <c r="F5" s="6" t="n"/>
    </row>
    <row r="6">
      <c r="A6" s="18">
        <f>COUNTIF(G10:G60,"Pass")</f>
        <v/>
      </c>
      <c r="B6" s="18">
        <f>COUNTIF(G10:G60,"Fail")</f>
        <v/>
      </c>
      <c r="C6" s="18">
        <f>E6-D6-B6-A6</f>
        <v/>
      </c>
      <c r="D6" s="18">
        <f>COUNTIF(G10:G60,"N/A")</f>
        <v/>
      </c>
      <c r="E6" s="18">
        <f>COUNTIF(G10:G60,"Pass")+COUNTIF(G10:G60,"Fail")+COUNTIF(G10:G60,"Untested")+COUNTIF(G10:G60,"N/A")</f>
        <v/>
      </c>
      <c r="F6" s="18" t="n"/>
    </row>
    <row r="8">
      <c r="A8" s="6" t="inlineStr">
        <is>
          <t>ID</t>
        </is>
      </c>
      <c r="B8" s="6" t="inlineStr">
        <is>
          <t>Test Case Description</t>
        </is>
      </c>
      <c r="C8" s="6" t="inlineStr">
        <is>
          <t>Pre-condition</t>
        </is>
      </c>
      <c r="D8" s="6" t="inlineStr">
        <is>
          <t>Test Steps</t>
        </is>
      </c>
      <c r="E8" s="6" t="inlineStr">
        <is>
          <t>Expected Output</t>
        </is>
      </c>
      <c r="F8" s="6" t="inlineStr">
        <is>
          <t>Post-condtion</t>
        </is>
      </c>
      <c r="G8" s="6" t="inlineStr">
        <is>
          <t>Result</t>
        </is>
      </c>
      <c r="H8" s="6" t="inlineStr">
        <is>
          <t>Test date</t>
        </is>
      </c>
      <c r="I8" s="6" t="inlineStr">
        <is>
          <t>Note</t>
        </is>
      </c>
    </row>
    <row r="9">
      <c r="A9" s="7" t="inlineStr"/>
      <c r="B9" s="19" t="inlineStr">
        <is>
          <t>Check validation</t>
        </is>
      </c>
      <c r="C9" s="7" t="n"/>
      <c r="D9" s="7" t="n"/>
      <c r="E9" s="7" t="n"/>
      <c r="F9" s="7" t="n"/>
      <c r="G9" s="7" t="n"/>
      <c r="H9" s="7" t="n"/>
      <c r="I9" s="7" t="n"/>
    </row>
    <row r="10">
      <c r="A10" s="20" t="inlineStr">
        <is>
          <t>[ChangePass-01]</t>
        </is>
      </c>
      <c r="B10" s="21" t="inlineStr">
        <is>
          <t>Để trống mật khẩu hiện tại</t>
        </is>
      </c>
      <c r="C10" s="21" t="inlineStr">
        <is>
          <t>Khách hàng mở trang Cài đặt (Settings).</t>
        </is>
      </c>
      <c r="D10" s="21" t="inlineStr">
        <is>
          <t>1. Bỏ trống Mật khẩu hiện tại
2. Nhập mật khẩu mới hợp lệ
3. Bấm 'Đổi mật khẩu'.</t>
        </is>
      </c>
      <c r="E10" s="21" t="inlineStr">
        <is>
          <t>Hệ thống báo lỗi: "Vui lòng nhập mật khẩu hiện tại."</t>
        </is>
      </c>
      <c r="F10" s="21" t="inlineStr">
        <is>
          <t>Chặn đổi mật khẩu.</t>
        </is>
      </c>
      <c r="G10" s="22" t="inlineStr">
        <is>
          <t>Pass</t>
        </is>
      </c>
      <c r="H10" s="23" t="inlineStr">
        <is>
          <t>26/09/2026</t>
        </is>
      </c>
      <c r="I10" s="21" t="inlineStr">
        <is>
          <t>Unit test F_AUTH_CHG_PWD</t>
        </is>
      </c>
    </row>
    <row r="11">
      <c r="A11" s="20" t="inlineStr">
        <is>
          <t>[ChangePass-02]</t>
        </is>
      </c>
      <c r="B11" s="21" t="inlineStr">
        <is>
          <t>Mật khẩu mới dưới 6 ký tự (BVA)</t>
        </is>
      </c>
      <c r="C11" s="21" t="inlineStr">
        <is>
          <t>Mở trang Cài đặt.</t>
        </is>
      </c>
      <c r="D11" s="21" t="inlineStr">
        <is>
          <t>1. Nhập mật khẩu mới: 'abc' (3 ký tự)
2. Bấm 'Đổi mật khẩu'.</t>
        </is>
      </c>
      <c r="E11" s="21" t="inlineStr">
        <is>
          <t>Hệ thống báo lỗi: "Mật khẩu mới phải có ít nhất 6 ký tự."</t>
        </is>
      </c>
      <c r="F11" s="21" t="inlineStr">
        <is>
          <t>Chặn đổi mật khẩu.</t>
        </is>
      </c>
      <c r="G11" s="22" t="inlineStr">
        <is>
          <t>Pass</t>
        </is>
      </c>
      <c r="H11" s="23" t="inlineStr">
        <is>
          <t>26/09/2026</t>
        </is>
      </c>
      <c r="I11" s="21" t="inlineStr">
        <is>
          <t>Kiểm thử biên BVA</t>
        </is>
      </c>
    </row>
    <row r="12">
      <c r="A12" s="20" t="inlineStr">
        <is>
          <t>[ChangePass-03]</t>
        </is>
      </c>
      <c r="B12" s="21" t="inlineStr">
        <is>
          <t>Mật khẩu mới trùng với mật khẩu hiện tại</t>
        </is>
      </c>
      <c r="C12" s="21" t="inlineStr">
        <is>
          <t>Mở trang Cài đặt.</t>
        </is>
      </c>
      <c r="D12" s="21" t="inlineStr">
        <is>
          <t>1. Nhập mật khẩu mới giống hệt mật khẩu cũ
2. Bấm 'Đổi mật khẩu'.</t>
        </is>
      </c>
      <c r="E12" s="21" t="inlineStr">
        <is>
          <t>Hệ thống báo lỗi: "Mật khẩu mới không được trùng với mật khẩu cũ."</t>
        </is>
      </c>
      <c r="F12" s="21" t="inlineStr">
        <is>
          <t>Chặn đổi mật khẩu.</t>
        </is>
      </c>
      <c r="G12" s="22" t="inlineStr">
        <is>
          <t>Pass</t>
        </is>
      </c>
      <c r="H12" s="23" t="inlineStr">
        <is>
          <t>26/09/2026</t>
        </is>
      </c>
      <c r="I12" s="21" t="inlineStr">
        <is>
          <t>Security Best Practice</t>
        </is>
      </c>
    </row>
    <row r="13">
      <c r="A13" s="20" t="inlineStr">
        <is>
          <t>[ChangePass-04]</t>
        </is>
      </c>
      <c r="B13" s="21" t="inlineStr">
        <is>
          <t>Xác nhận mật khẩu mới không khớp</t>
        </is>
      </c>
      <c r="C13" s="21" t="inlineStr">
        <is>
          <t>Mở trang Cài đặt.</t>
        </is>
      </c>
      <c r="D13" s="21" t="inlineStr">
        <is>
          <t>1. Mật khẩu mới: 'newpass123'
2. Xác nhận: 'wrongpass456'
3. Bấm 'Đổi mật khẩu'.</t>
        </is>
      </c>
      <c r="E13" s="21" t="inlineStr">
        <is>
          <t>Hệ thống báo lỗi: "Mật khẩu xác nhận không khớp."</t>
        </is>
      </c>
      <c r="F13" s="21" t="inlineStr">
        <is>
          <t>Chặn đổi mật khẩu.</t>
        </is>
      </c>
      <c r="G13" s="22" t="inlineStr">
        <is>
          <t>Pass</t>
        </is>
      </c>
      <c r="H13" s="23" t="inlineStr">
        <is>
          <t>26/09/2026</t>
        </is>
      </c>
      <c r="I13" s="21" t="inlineStr">
        <is>
          <t>Validation Match</t>
        </is>
      </c>
    </row>
    <row r="14">
      <c r="A14" s="7" t="inlineStr"/>
      <c r="B14" s="19" t="inlineStr">
        <is>
          <t>Check Business</t>
        </is>
      </c>
      <c r="C14" s="7" t="n"/>
      <c r="D14" s="7" t="n"/>
      <c r="E14" s="7" t="n"/>
      <c r="F14" s="7" t="n"/>
      <c r="G14" s="7" t="n"/>
      <c r="H14" s="7" t="n"/>
      <c r="I14" s="7" t="n"/>
    </row>
    <row r="15">
      <c r="A15" s="20" t="inlineStr">
        <is>
          <t>[ChangePass-05]</t>
        </is>
      </c>
      <c r="B15" s="21" t="inlineStr">
        <is>
          <t>Đổi mật khẩu thành công khi thông tin hợp lệ</t>
        </is>
      </c>
      <c r="C15" s="21" t="inlineStr">
        <is>
          <t>Khách hàng nhập đúng pass cũ và pass mới chuẩn.</t>
        </is>
      </c>
      <c r="D15" s="21" t="inlineStr">
        <is>
          <t>1. Bấm 'Đổi mật khẩu'.</t>
        </is>
      </c>
      <c r="E15" s="21" t="inlineStr">
        <is>
          <t>1. Hệ thống báo đổi mật khẩu thành công.
2. Cập nhật mật khẩu mới vào cơ sở dữ liệu.
3. Form tự động reset.</t>
        </is>
      </c>
      <c r="F15" s="21" t="inlineStr">
        <is>
          <t>Đổi mật khẩu thành công.</t>
        </is>
      </c>
      <c r="G15" s="22" t="inlineStr">
        <is>
          <t>Pass</t>
        </is>
      </c>
      <c r="H15" s="23" t="inlineStr">
        <is>
          <t>26/09/2026</t>
        </is>
      </c>
      <c r="I15" s="21" t="inlineStr">
        <is>
          <t>Tích hợp ITC-10</t>
        </is>
      </c>
    </row>
    <row r="16">
      <c r="A16" s="20" t="inlineStr">
        <is>
          <t>[ChangePass-06]</t>
        </is>
      </c>
      <c r="B16" s="21" t="inlineStr">
        <is>
          <t>Đăng xuất và đăng nhập lại bằng mật khẩu mới</t>
        </is>
      </c>
      <c r="C16" s="21" t="inlineStr">
        <is>
          <t>Đã đổi mật khẩu thành công.</t>
        </is>
      </c>
      <c r="D16" s="21" t="inlineStr">
        <is>
          <t>1. Đăng xuất tài khoản.
2. Đăng nhập bằng pass cũ -&gt; Báo lỗi.
3. Đăng nhập bằng pass mới -&gt; Đăng nhập thành công.</t>
        </is>
      </c>
      <c r="E16" s="21" t="inlineStr">
        <is>
          <t>Mật khẩu cũ bị vô hiệu hóa hoàn toàn, mật khẩu mới có hiệu lực vĩnh viễn.</t>
        </is>
      </c>
      <c r="F16" s="21" t="inlineStr">
        <is>
          <t>Hoàn thiện bảo mật tài khoản.</t>
        </is>
      </c>
      <c r="G16" s="22" t="inlineStr">
        <is>
          <t>Pass</t>
        </is>
      </c>
      <c r="H16" s="23" t="inlineStr">
        <is>
          <t>26/09/2026</t>
        </is>
      </c>
      <c r="I16" s="21" t="inlineStr">
        <is>
          <t>E2E Authentication Flow</t>
        </is>
      </c>
    </row>
  </sheetData>
  <mergeCells count="5">
    <mergeCell ref="B4:F4"/>
    <mergeCell ref="E6:F6"/>
    <mergeCell ref="B2:F2"/>
    <mergeCell ref="B3:F3"/>
    <mergeCell ref="E5:F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H24"/>
  <sheetViews>
    <sheetView workbookViewId="0">
      <selection activeCell="A1" sqref="A1"/>
    </sheetView>
  </sheetViews>
  <sheetFormatPr baseColWidth="8" defaultRowHeight="15"/>
  <cols>
    <col width="8" customWidth="1" min="2" max="2"/>
    <col width="20" customWidth="1" min="3" max="3"/>
    <col width="12" customWidth="1" min="4" max="4"/>
    <col width="12" customWidth="1" min="5" max="5"/>
    <col width="12" customWidth="1" min="6" max="6"/>
    <col width="12" customWidth="1" min="7" max="7"/>
    <col width="22" customWidth="1" min="8" max="8"/>
  </cols>
  <sheetData>
    <row r="1">
      <c r="B1" s="1" t="inlineStr">
        <is>
          <t>TEST REPORT</t>
        </is>
      </c>
    </row>
    <row r="3">
      <c r="B3" s="12" t="inlineStr">
        <is>
          <t>Project Name</t>
        </is>
      </c>
      <c r="C3" s="13">
        <f>Cover!C4</f>
        <v/>
      </c>
      <c r="D3" s="7" t="n"/>
      <c r="E3" s="12" t="inlineStr">
        <is>
          <t>Creator</t>
        </is>
      </c>
      <c r="F3" s="7" t="n"/>
      <c r="G3" s="10">
        <f>Cover!G4</f>
        <v/>
      </c>
      <c r="H3" s="7" t="n"/>
    </row>
    <row r="4">
      <c r="B4" s="12" t="inlineStr">
        <is>
          <t>Project Code</t>
        </is>
      </c>
      <c r="C4" s="13">
        <f>Cover!C5</f>
        <v/>
      </c>
      <c r="D4" s="7" t="n"/>
      <c r="E4" s="12" t="inlineStr">
        <is>
          <t>Reviewer/Approver</t>
        </is>
      </c>
      <c r="F4" s="7" t="n"/>
      <c r="G4" s="10">
        <f>Cover!G5</f>
        <v/>
      </c>
      <c r="H4" s="7" t="n"/>
    </row>
    <row r="5">
      <c r="B5" s="12" t="inlineStr">
        <is>
          <t>Document Code</t>
        </is>
      </c>
      <c r="C5" s="13">
        <f>C4&amp;"_"&amp;"Test Report"&amp;"_"&amp;"v1.0"</f>
        <v/>
      </c>
      <c r="D5" s="7" t="n"/>
      <c r="E5" s="12" t="inlineStr">
        <is>
          <t>Issue Date</t>
        </is>
      </c>
      <c r="F5" s="7" t="n"/>
      <c r="G5" s="10" t="inlineStr">
        <is>
          <t>26/09/2026</t>
        </is>
      </c>
      <c r="H5" s="7" t="n"/>
    </row>
    <row r="6" ht="35" customHeight="1">
      <c r="B6" s="12" t="inlineStr">
        <is>
          <t>Notes</t>
        </is>
      </c>
      <c r="C6" s="9" t="inlineStr">
        <is>
          <t>Báo cáo tổng hợp kết quả thực thi kiểm thử 10 phân hệ chức năng trọng tâm của hệ thống GameRent (Nhóm 15). Toàn bộ 81 test cases đã được thực thi và đạt tỷ lệ thành công 100% (Pass).</t>
        </is>
      </c>
      <c r="D6" s="7" t="n"/>
      <c r="E6" s="7" t="n"/>
      <c r="F6" s="7" t="n"/>
      <c r="G6" s="7" t="n"/>
      <c r="H6" s="7" t="n"/>
    </row>
    <row r="10">
      <c r="B10" s="6" t="inlineStr">
        <is>
          <t>No</t>
        </is>
      </c>
      <c r="C10" s="6" t="inlineStr">
        <is>
          <t>Module code</t>
        </is>
      </c>
      <c r="D10" s="6" t="inlineStr">
        <is>
          <t>Pass</t>
        </is>
      </c>
      <c r="E10" s="6" t="inlineStr">
        <is>
          <t>Fail</t>
        </is>
      </c>
      <c r="F10" s="6" t="inlineStr">
        <is>
          <t>Untested</t>
        </is>
      </c>
      <c r="G10" s="6" t="inlineStr">
        <is>
          <t>N/A</t>
        </is>
      </c>
      <c r="H10" s="6" t="inlineStr">
        <is>
          <t>Number of  test cases</t>
        </is>
      </c>
    </row>
    <row r="11">
      <c r="B11" s="24" t="n">
        <v>1</v>
      </c>
      <c r="C11" s="24">
        <f>'Login'!B2</f>
        <v/>
      </c>
      <c r="D11" s="24">
        <f>'Login'!A6</f>
        <v/>
      </c>
      <c r="E11" s="24">
        <f>'Login'!B6</f>
        <v/>
      </c>
      <c r="F11" s="24">
        <f>'Login'!C6</f>
        <v/>
      </c>
      <c r="G11" s="24">
        <f>'Login'!D6</f>
        <v/>
      </c>
      <c r="H11" s="24">
        <f>'Login'!E6</f>
        <v/>
      </c>
    </row>
    <row r="12">
      <c r="B12" s="24" t="n">
        <v>2</v>
      </c>
      <c r="C12" s="24">
        <f>'Register'!B2</f>
        <v/>
      </c>
      <c r="D12" s="24">
        <f>'Register'!A6</f>
        <v/>
      </c>
      <c r="E12" s="24">
        <f>'Register'!B6</f>
        <v/>
      </c>
      <c r="F12" s="24">
        <f>'Register'!C6</f>
        <v/>
      </c>
      <c r="G12" s="24">
        <f>'Register'!D6</f>
        <v/>
      </c>
      <c r="H12" s="24">
        <f>'Register'!E6</f>
        <v/>
      </c>
    </row>
    <row r="13">
      <c r="B13" s="24" t="n">
        <v>3</v>
      </c>
      <c r="C13" s="24">
        <f>'Wallet'!B2</f>
        <v/>
      </c>
      <c r="D13" s="24">
        <f>'Wallet'!A6</f>
        <v/>
      </c>
      <c r="E13" s="24">
        <f>'Wallet'!B6</f>
        <v/>
      </c>
      <c r="F13" s="24">
        <f>'Wallet'!C6</f>
        <v/>
      </c>
      <c r="G13" s="24">
        <f>'Wallet'!D6</f>
        <v/>
      </c>
      <c r="H13" s="24">
        <f>'Wallet'!E6</f>
        <v/>
      </c>
    </row>
    <row r="14">
      <c r="B14" s="24" t="n">
        <v>4</v>
      </c>
      <c r="C14" s="24">
        <f>'Rental'!B2</f>
        <v/>
      </c>
      <c r="D14" s="24">
        <f>'Rental'!A6</f>
        <v/>
      </c>
      <c r="E14" s="24">
        <f>'Rental'!B6</f>
        <v/>
      </c>
      <c r="F14" s="24">
        <f>'Rental'!C6</f>
        <v/>
      </c>
      <c r="G14" s="24">
        <f>'Rental'!D6</f>
        <v/>
      </c>
      <c r="H14" s="24">
        <f>'Rental'!E6</f>
        <v/>
      </c>
    </row>
    <row r="15">
      <c r="B15" s="24" t="n">
        <v>5</v>
      </c>
      <c r="C15" s="24">
        <f>'Timer'!B2</f>
        <v/>
      </c>
      <c r="D15" s="24">
        <f>'Timer'!A6</f>
        <v/>
      </c>
      <c r="E15" s="24">
        <f>'Timer'!B6</f>
        <v/>
      </c>
      <c r="F15" s="24">
        <f>'Timer'!C6</f>
        <v/>
      </c>
      <c r="G15" s="24">
        <f>'Timer'!D6</f>
        <v/>
      </c>
      <c r="H15" s="24">
        <f>'Timer'!E6</f>
        <v/>
      </c>
    </row>
    <row r="16">
      <c r="B16" s="24" t="n">
        <v>6</v>
      </c>
      <c r="C16" s="24">
        <f>'Refund'!B2</f>
        <v/>
      </c>
      <c r="D16" s="24">
        <f>'Refund'!A6</f>
        <v/>
      </c>
      <c r="E16" s="24">
        <f>'Refund'!B6</f>
        <v/>
      </c>
      <c r="F16" s="24">
        <f>'Refund'!C6</f>
        <v/>
      </c>
      <c r="G16" s="24">
        <f>'Refund'!D6</f>
        <v/>
      </c>
      <c r="H16" s="24">
        <f>'Refund'!E6</f>
        <v/>
      </c>
    </row>
    <row r="17">
      <c r="B17" s="24" t="n">
        <v>7</v>
      </c>
      <c r="C17" s="24">
        <f>'Product'!B2</f>
        <v/>
      </c>
      <c r="D17" s="24">
        <f>'Product'!A6</f>
        <v/>
      </c>
      <c r="E17" s="24">
        <f>'Product'!B6</f>
        <v/>
      </c>
      <c r="F17" s="24">
        <f>'Product'!C6</f>
        <v/>
      </c>
      <c r="G17" s="24">
        <f>'Product'!D6</f>
        <v/>
      </c>
      <c r="H17" s="24">
        <f>'Product'!E6</f>
        <v/>
      </c>
    </row>
    <row r="18">
      <c r="B18" s="24" t="n">
        <v>8</v>
      </c>
      <c r="C18" s="24">
        <f>'Customer'!B2</f>
        <v/>
      </c>
      <c r="D18" s="24">
        <f>'Customer'!A6</f>
        <v/>
      </c>
      <c r="E18" s="24">
        <f>'Customer'!B6</f>
        <v/>
      </c>
      <c r="F18" s="24">
        <f>'Customer'!C6</f>
        <v/>
      </c>
      <c r="G18" s="24">
        <f>'Customer'!D6</f>
        <v/>
      </c>
      <c r="H18" s="24">
        <f>'Customer'!E6</f>
        <v/>
      </c>
    </row>
    <row r="19">
      <c r="B19" s="24" t="n">
        <v>9</v>
      </c>
      <c r="C19" s="24">
        <f>'Favorites'!B2</f>
        <v/>
      </c>
      <c r="D19" s="24">
        <f>'Favorites'!A6</f>
        <v/>
      </c>
      <c r="E19" s="24">
        <f>'Favorites'!B6</f>
        <v/>
      </c>
      <c r="F19" s="24">
        <f>'Favorites'!C6</f>
        <v/>
      </c>
      <c r="G19" s="24">
        <f>'Favorites'!D6</f>
        <v/>
      </c>
      <c r="H19" s="24">
        <f>'Favorites'!E6</f>
        <v/>
      </c>
    </row>
    <row r="20">
      <c r="B20" s="24" t="n">
        <v>10</v>
      </c>
      <c r="C20" s="24">
        <f>'ChangePass'!B2</f>
        <v/>
      </c>
      <c r="D20" s="24">
        <f>'ChangePass'!A6</f>
        <v/>
      </c>
      <c r="E20" s="24">
        <f>'ChangePass'!B6</f>
        <v/>
      </c>
      <c r="F20" s="24">
        <f>'ChangePass'!C6</f>
        <v/>
      </c>
      <c r="G20" s="24">
        <f>'ChangePass'!D6</f>
        <v/>
      </c>
      <c r="H20" s="24">
        <f>'ChangePass'!E6</f>
        <v/>
      </c>
    </row>
    <row r="21">
      <c r="C21" s="6" t="inlineStr">
        <is>
          <t>Sub total</t>
        </is>
      </c>
      <c r="D21" s="6">
        <f>SUM(D11:D20)</f>
        <v/>
      </c>
      <c r="E21" s="6">
        <f>SUM(E11:E20)</f>
        <v/>
      </c>
      <c r="F21" s="6">
        <f>SUM(F11:F20)</f>
        <v/>
      </c>
      <c r="G21" s="6">
        <f>SUM(G11:G20)</f>
        <v/>
      </c>
      <c r="H21" s="6">
        <f>SUM(H11:H20)</f>
        <v/>
      </c>
    </row>
    <row r="23">
      <c r="C23" s="5" t="inlineStr">
        <is>
          <t>Test coverage</t>
        </is>
      </c>
      <c r="E23" s="25">
        <f>(D21+E21)*100/(H21-G21)</f>
        <v/>
      </c>
      <c r="F23" t="inlineStr">
        <is>
          <t>%</t>
        </is>
      </c>
    </row>
    <row r="24">
      <c r="C24" s="5" t="inlineStr">
        <is>
          <t>Test successful coverage</t>
        </is>
      </c>
      <c r="E24" s="25">
        <f>D21*100/(H21-G21)</f>
        <v/>
      </c>
      <c r="F24" t="inlineStr">
        <is>
          <t>%</t>
        </is>
      </c>
    </row>
  </sheetData>
  <mergeCells count="11">
    <mergeCell ref="G4:H4"/>
    <mergeCell ref="E4:F4"/>
    <mergeCell ref="C6:H6"/>
    <mergeCell ref="B1:H1"/>
    <mergeCell ref="C5:D5"/>
    <mergeCell ref="G5:H5"/>
    <mergeCell ref="E5:F5"/>
    <mergeCell ref="C3:D3"/>
    <mergeCell ref="G3:H3"/>
    <mergeCell ref="E3:F3"/>
    <mergeCell ref="C4:D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F50"/>
  <sheetViews>
    <sheetView workbookViewId="0">
      <selection activeCell="A1" sqref="A1"/>
    </sheetView>
  </sheetViews>
  <sheetFormatPr baseColWidth="8" defaultRowHeight="15"/>
  <cols>
    <col width="5" customWidth="1" min="1" max="1"/>
    <col width="24" customWidth="1" min="2" max="2"/>
    <col width="28" customWidth="1" min="3" max="3"/>
    <col width="38" customWidth="1" min="4" max="4"/>
    <col width="12" customWidth="1" min="5" max="5"/>
    <col width="46" customWidth="1" min="6" max="6"/>
  </cols>
  <sheetData>
    <row r="2">
      <c r="A2" s="26" t="inlineStr">
        <is>
          <t>1.</t>
        </is>
      </c>
      <c r="B2" s="27" t="inlineStr">
        <is>
          <t>Wireframe &amp; Giao diện luồng nghiệp vụ Đăng nhập &amp; Xác thực (AuthModal GameRent)</t>
        </is>
      </c>
    </row>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2">
      <c r="A22" s="26" t="inlineStr">
        <is>
          <t>2.</t>
        </is>
      </c>
      <c r="B22" s="27" t="inlineStr">
        <is>
          <t>Mô tả màn hình Đăng nhập (AuthModal)</t>
        </is>
      </c>
    </row>
    <row r="23" ht="25" customHeight="1">
      <c r="B23" s="16" t="inlineStr">
        <is>
          <t>Màn hình thực hiện chức năng xác thực người dùng (AuthModal), hỗ trợ đăng nhập tài khoản Khách hàng (Renter) và Quản trị viên (Admin), kiểm tra mật khẩu và quản lý phiên làm việc tập trung trên LocalStorage.</t>
        </is>
      </c>
    </row>
    <row r="25" ht="24" customHeight="1">
      <c r="B25" s="6" t="inlineStr">
        <is>
          <t>Tên trường</t>
        </is>
      </c>
      <c r="C25" s="6" t="inlineStr">
        <is>
          <t>Kiểu dữ liệu</t>
        </is>
      </c>
      <c r="D25" s="6" t="inlineStr">
        <is>
          <t>Độ dài</t>
        </is>
      </c>
      <c r="E25" s="6" t="inlineStr">
        <is>
          <t>Bắt buộc</t>
        </is>
      </c>
      <c r="F25" s="6" t="inlineStr">
        <is>
          <t>Định dạng</t>
        </is>
      </c>
    </row>
    <row r="26" ht="22" customHeight="1">
      <c r="B26" s="4" t="inlineStr">
        <is>
          <t>Tên đăng nhập / Email</t>
        </is>
      </c>
      <c r="C26" s="8" t="inlineStr">
        <is>
          <t>String</t>
        </is>
      </c>
      <c r="D26" s="8" t="inlineStr">
        <is>
          <t>6 - 50</t>
        </is>
      </c>
      <c r="E26" s="8" t="inlineStr">
        <is>
          <t>y</t>
        </is>
      </c>
      <c r="F26" s="4" t="inlineStr">
        <is>
          <t>Địa chỉ Email hợp lệ (chứa ký tự @ và tên miền)</t>
        </is>
      </c>
    </row>
    <row r="27" ht="22" customHeight="1">
      <c r="B27" s="4" t="inlineStr">
        <is>
          <t>Mật khẩu</t>
        </is>
      </c>
      <c r="C27" s="8" t="inlineStr">
        <is>
          <t>String</t>
        </is>
      </c>
      <c r="D27" s="8" t="inlineStr">
        <is>
          <t>6 - 32</t>
        </is>
      </c>
      <c r="E27" s="8" t="inlineStr">
        <is>
          <t>y</t>
        </is>
      </c>
      <c r="F27" s="4" t="inlineStr">
        <is>
          <t>Ký tự bảo mật (hỗ trợ chữ hoa, thường, số, ký tự đặc biệt)</t>
        </is>
      </c>
    </row>
    <row r="28" ht="22" customHeight="1">
      <c r="B28" s="4" t="inlineStr">
        <is>
          <t>Ghi nhớ phiên đăng nhập</t>
        </is>
      </c>
      <c r="C28" s="8" t="inlineStr">
        <is>
          <t>Boolean</t>
        </is>
      </c>
      <c r="D28" s="8" t="inlineStr">
        <is>
          <t>1</t>
        </is>
      </c>
      <c r="E28" s="8" t="inlineStr">
        <is>
          <t>n</t>
        </is>
      </c>
      <c r="F28" s="4" t="inlineStr">
        <is>
          <t>Checkbox lưu LocalStorage (true/false)</t>
        </is>
      </c>
    </row>
    <row r="30" ht="24" customHeight="1">
      <c r="A30" s="26" t="inlineStr">
        <is>
          <t>3.</t>
        </is>
      </c>
      <c r="B30" s="27" t="inlineStr">
        <is>
          <t>Ràng buộc nghiệp vụ (Business Rules - BR1 đến BR7)</t>
        </is>
      </c>
    </row>
    <row r="31" ht="30" customHeight="1">
      <c r="B31" s="28" t="inlineStr">
        <is>
          <t>1.</t>
        </is>
      </c>
      <c r="C31" s="9" t="inlineStr">
        <is>
          <t>Nếu người dùng bỏ trống trường Email thì hệ thống hiển thị thông báo lỗi: "Email không được để trống".</t>
        </is>
      </c>
      <c r="D31" s="7" t="n"/>
      <c r="E31" s="7" t="n"/>
      <c r="F31" s="7" t="n"/>
    </row>
    <row r="32" ht="30" customHeight="1">
      <c r="B32" s="28" t="inlineStr">
        <is>
          <t>2.</t>
        </is>
      </c>
      <c r="C32" s="9" t="inlineStr">
        <is>
          <t>Nếu người dùng bỏ trống trường Mật khẩu thì hệ thống hiển thị thông báo lỗi: "Mật khẩu không được để trống".</t>
        </is>
      </c>
      <c r="D32" s="7" t="n"/>
      <c r="E32" s="7" t="n"/>
      <c r="F32" s="7" t="n"/>
    </row>
    <row r="33" ht="30" customHeight="1">
      <c r="B33" s="28" t="inlineStr">
        <is>
          <t>3.</t>
        </is>
      </c>
      <c r="C33" s="9" t="inlineStr">
        <is>
          <t>Nếu người dùng nhập sai mật khẩu đăng nhập thì hệ thống hiển thị thông báo lỗi: "Mật khẩu không chính xác.".</t>
        </is>
      </c>
      <c r="D33" s="7" t="n"/>
      <c r="E33" s="7" t="n"/>
      <c r="F33" s="7" t="n"/>
    </row>
    <row r="34" ht="30" customHeight="1">
      <c r="B34" s="28" t="inlineStr">
        <is>
          <t>4.</t>
        </is>
      </c>
      <c r="C34" s="9" t="inlineStr">
        <is>
          <t>Nếu người dùng nhập Email chưa đăng ký trên hệ thống thì báo lỗi: "Email không tồn tại trên hệ thống.".</t>
        </is>
      </c>
      <c r="D34" s="7" t="n"/>
      <c r="E34" s="7" t="n"/>
      <c r="F34" s="7" t="n"/>
    </row>
    <row r="35" ht="36" customHeight="1">
      <c r="B35" s="28" t="inlineStr">
        <is>
          <t>5.</t>
        </is>
      </c>
      <c r="C35" s="9" t="inlineStr">
        <is>
          <t>Nếu tài khoản người dùng có trạng thái bị khóa (isBlocked = true) do vi phạm quy chế thì hệ thống chặn truy cập và thông báo: "Tài khoản của bạn đang bị khóa do vi phạm quy chế.".</t>
        </is>
      </c>
      <c r="D35" s="7" t="n"/>
      <c r="E35" s="7" t="n"/>
      <c r="F35" s="7" t="n"/>
    </row>
    <row r="36" ht="36" customHeight="1">
      <c r="B36" s="28" t="inlineStr">
        <is>
          <t>6.</t>
        </is>
      </c>
      <c r="C36" s="9" t="inlineStr">
        <is>
          <t>Đăng nhập thành công sẽ lưu thông tin phiên làm việc vào LocalStorage (key: 'gamerent_current_user'), cập nhật Header/Navbar với tên người dùng, avatar, số dư ví và phân quyền tương ứng (Renter hoặc Admin).</t>
        </is>
      </c>
      <c r="D36" s="7" t="n"/>
      <c r="E36" s="7" t="n"/>
      <c r="F36" s="7" t="n"/>
    </row>
    <row r="37" ht="36" customHeight="1">
      <c r="B37" s="28" t="inlineStr">
        <is>
          <t>7.</t>
        </is>
      </c>
      <c r="C37" s="9" t="inlineStr">
        <is>
          <t>Khi người dùng nhấn 'Đăng xuất', hệ thống phải xóa hoàn toàn thông tin phiên trong LocalStorage và chuyển giao diện về trạng thái chưa đăng nhập an toàn.</t>
        </is>
      </c>
      <c r="D37" s="7" t="n"/>
      <c r="E37" s="7" t="n"/>
      <c r="F37" s="7" t="n"/>
    </row>
    <row r="39" ht="24" customHeight="1">
      <c r="A39" s="26" t="inlineStr">
        <is>
          <t>4.</t>
        </is>
      </c>
      <c r="B39" s="27" t="inlineStr">
        <is>
          <t>Ma trận truy vết yêu cầu &amp; Kiến trúc tích hợp (Requirement Traceability Matrix)</t>
        </is>
      </c>
    </row>
    <row r="40" ht="24" customHeight="1">
      <c r="B40" s="6" t="inlineStr">
        <is>
          <t>Mã Req</t>
        </is>
      </c>
      <c r="C40" s="6" t="inlineStr">
        <is>
          <t>Phân hệ / Chức năng</t>
        </is>
      </c>
      <c r="D40" s="6" t="inlineStr">
        <is>
          <t>Thành phần tích hợp (Architecture Components)</t>
        </is>
      </c>
      <c r="E40" s="6" t="inlineStr">
        <is>
          <t>Số ca TC</t>
        </is>
      </c>
      <c r="F40" s="6" t="inlineStr">
        <is>
          <t>Mã ca kiểm thử bao phủ (Test Case Coverage)</t>
        </is>
      </c>
    </row>
    <row r="41" ht="22" customHeight="1">
      <c r="B41" s="8" t="inlineStr">
        <is>
          <t>REQ-01</t>
        </is>
      </c>
      <c r="C41" s="4" t="inlineStr">
        <is>
          <t>Đăng nhập hệ thống (Login)</t>
        </is>
      </c>
      <c r="D41" s="4" t="inlineStr">
        <is>
          <t>AuthModal ↔ AppContext ↔ LocalStorage</t>
        </is>
      </c>
      <c r="E41" s="8" t="inlineStr">
        <is>
          <t>12</t>
        </is>
      </c>
      <c r="F41" s="29" t="inlineStr">
        <is>
          <t>[Login-01] đến [Login-12]</t>
        </is>
      </c>
    </row>
    <row r="42" ht="22" customHeight="1">
      <c r="B42" s="8" t="inlineStr">
        <is>
          <t>REQ-02</t>
        </is>
      </c>
      <c r="C42" s="4" t="inlineStr">
        <is>
          <t>Đăng ký tài khoản mới (Register)</t>
        </is>
      </c>
      <c r="D42" s="4" t="inlineStr">
        <is>
          <t>AuthModal (Register Tab) ↔ AppContext ↔ Wallet</t>
        </is>
      </c>
      <c r="E42" s="8" t="inlineStr">
        <is>
          <t>10</t>
        </is>
      </c>
      <c r="F42" s="29" t="inlineStr">
        <is>
          <t>[Register-01] đến [Register-10]</t>
        </is>
      </c>
    </row>
    <row r="43" ht="22" customHeight="1">
      <c r="B43" s="8" t="inlineStr">
        <is>
          <t>REQ-03</t>
        </is>
      </c>
      <c r="C43" s="4" t="inlineStr">
        <is>
          <t>Nạp tiền ví VietQR Napas247 (Deposit)</t>
        </is>
      </c>
      <c r="D43" s="4" t="inlineStr">
        <is>
          <t>DepositModal ↔ VietQR Engine ↔ AppContext</t>
        </is>
      </c>
      <c r="E43" s="8" t="inlineStr">
        <is>
          <t>8</t>
        </is>
      </c>
      <c r="F43" s="29" t="inlineStr">
        <is>
          <t>[Wallet-01] đến [Wallet-08]</t>
        </is>
      </c>
    </row>
    <row r="44" ht="22" customHeight="1">
      <c r="B44" s="8" t="inlineStr">
        <is>
          <t>REQ-04</t>
        </is>
      </c>
      <c r="C44" s="4" t="inlineStr">
        <is>
          <t>Thuê tài khoản &amp; Bàn giao pass (Rental)</t>
        </is>
      </c>
      <c r="D44" s="4" t="inlineStr">
        <is>
          <t>RentConfirmModal ↔ AccountCard ↔ AppContext</t>
        </is>
      </c>
      <c r="E44" s="8" t="inlineStr">
        <is>
          <t>8</t>
        </is>
      </c>
      <c r="F44" s="29" t="inlineStr">
        <is>
          <t>[Rental-01] đến [Rental-08]</t>
        </is>
      </c>
    </row>
    <row r="45" ht="22" customHeight="1">
      <c r="B45" s="8" t="inlineStr">
        <is>
          <t>REQ-05</t>
        </is>
      </c>
      <c r="C45" s="4" t="inlineStr">
        <is>
          <t>Giám sát đếm ngược &amp; Gia hạn (Timer)</t>
        </is>
      </c>
      <c r="D45" s="4" t="inlineStr">
        <is>
          <t>CountdownTimer ↔ ExtendRentalModal ↔ AppContext</t>
        </is>
      </c>
      <c r="E45" s="8" t="inlineStr">
        <is>
          <t>8</t>
        </is>
      </c>
      <c r="F45" s="29" t="inlineStr">
        <is>
          <t>[Timer-01] đến [Timer-08]</t>
        </is>
      </c>
    </row>
    <row r="46" ht="22" customHeight="1">
      <c r="B46" s="8" t="inlineStr">
        <is>
          <t>REQ-06</t>
        </is>
      </c>
      <c r="C46" s="4" t="inlineStr">
        <is>
          <t>Trả nick sớm &amp; Khiếu nại (Refund)</t>
        </is>
      </c>
      <c r="D46" s="4" t="inlineStr">
        <is>
          <t>ReturnEarlyModal ↔ DisputeModal ↔ OverviewDashboard</t>
        </is>
      </c>
      <c r="E46" s="8" t="inlineStr">
        <is>
          <t>8</t>
        </is>
      </c>
      <c r="F46" s="29" t="inlineStr">
        <is>
          <t>[Refund-01] đến [Refund-08]</t>
        </is>
      </c>
    </row>
    <row r="47" ht="22" customHeight="1">
      <c r="B47" s="8" t="inlineStr">
        <is>
          <t>REQ-07</t>
        </is>
      </c>
      <c r="C47" s="4" t="inlineStr">
        <is>
          <t>Quản trị thêm nick vào kho (Product)</t>
        </is>
      </c>
      <c r="D47" s="4" t="inlineStr">
        <is>
          <t>Admin OverviewDashboard ↔ Form UC1 ↔ Inventory DB</t>
        </is>
      </c>
      <c r="E47" s="8" t="inlineStr">
        <is>
          <t>8</t>
        </is>
      </c>
      <c r="F47" s="29" t="inlineStr">
        <is>
          <t>[Product-01] đến [Product-08]</t>
        </is>
      </c>
    </row>
    <row r="48" ht="22" customHeight="1">
      <c r="B48" s="8" t="inlineStr">
        <is>
          <t>REQ-08</t>
        </is>
      </c>
      <c r="C48" s="4" t="inlineStr">
        <is>
          <t>Quản lý khách hàng CRM (Customer)</t>
        </is>
      </c>
      <c r="D48" s="4" t="inlineStr">
        <is>
          <t>CustomersPage ↔ CRM Engine ↔ AppContext</t>
        </is>
      </c>
      <c r="E48" s="8" t="inlineStr">
        <is>
          <t>7</t>
        </is>
      </c>
      <c r="F48" s="29" t="inlineStr">
        <is>
          <t>[Customer-01] đến [Customer-07]</t>
        </is>
      </c>
    </row>
    <row r="49" ht="22" customHeight="1">
      <c r="B49" s="8" t="inlineStr">
        <is>
          <t>REQ-09</t>
        </is>
      </c>
      <c r="C49" s="4" t="inlineStr">
        <is>
          <t>Phân tách danh sách yêu thích (Favorites)</t>
        </is>
      </c>
      <c r="D49" s="4" t="inlineStr">
        <is>
          <t>FavoriteButton ↔ LocalStorage Key ↔ State</t>
        </is>
      </c>
      <c r="E49" s="8" t="inlineStr">
        <is>
          <t>6</t>
        </is>
      </c>
      <c r="F49" s="29" t="inlineStr">
        <is>
          <t>[Favorites-01] đến [Favorites-06]</t>
        </is>
      </c>
    </row>
    <row r="50" ht="22" customHeight="1">
      <c r="B50" s="8" t="inlineStr">
        <is>
          <t>REQ-10</t>
        </is>
      </c>
      <c r="C50" s="4" t="inlineStr">
        <is>
          <t>Đổi mật khẩu người dùng (ChangePass)</t>
        </is>
      </c>
      <c r="D50" s="4" t="inlineStr">
        <is>
          <t>SettingsPage ↔ Security Engine ↔ LocalStorage</t>
        </is>
      </c>
      <c r="E50" s="8" t="inlineStr">
        <is>
          <t>6</t>
        </is>
      </c>
      <c r="F50" s="29" t="inlineStr">
        <is>
          <t>[ChangePass-01] đến [ChangePass-06]</t>
        </is>
      </c>
    </row>
  </sheetData>
  <mergeCells count="8">
    <mergeCell ref="C31:F31"/>
    <mergeCell ref="C35:F35"/>
    <mergeCell ref="C34:F34"/>
    <mergeCell ref="B23:F23"/>
    <mergeCell ref="C33:F33"/>
    <mergeCell ref="C32:F32"/>
    <mergeCell ref="C37:F37"/>
    <mergeCell ref="C36:F3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2026-10-02T08:48:50Z</dcterms:created>
  <dcterms:modified xmlns:dcterms="http://purl.org/dc/terms/" xmlns:xsi="http://www.w3.org/2001/XMLSchema-instance" xsi:type="dcterms:W3CDTF">2026-10-02T08:48:50Z</dcterms:modified>
</cp:coreProperties>
</file>