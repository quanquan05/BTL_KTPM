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hiến lược tích hợp" sheetId="2" state="visible" r:id="rId2"/>
    <sheet xmlns:r="http://schemas.openxmlformats.org/officeDocument/2006/relationships" name="IT_AUTH_SYNC" sheetId="3" state="visible" r:id="rId3"/>
    <sheet xmlns:r="http://schemas.openxmlformats.org/officeDocument/2006/relationships" name="IT_WALLET_FLOW" sheetId="4" state="visible" r:id="rId4"/>
    <sheet xmlns:r="http://schemas.openxmlformats.org/officeDocument/2006/relationships" name="IT_RENT_DELIVER" sheetId="5" state="visible" r:id="rId5"/>
    <sheet xmlns:r="http://schemas.openxmlformats.org/officeDocument/2006/relationships" name="IT_TIMER_EXT" sheetId="6" state="visible" r:id="rId6"/>
    <sheet xmlns:r="http://schemas.openxmlformats.org/officeDocument/2006/relationships" name="IT_REFUND_DISPUTE" sheetId="7" state="visible" r:id="rId7"/>
    <sheet xmlns:r="http://schemas.openxmlformats.org/officeDocument/2006/relationships" name="IT_FAV_SEP" sheetId="8" state="visible" r:id="rId8"/>
    <sheet xmlns:r="http://schemas.openxmlformats.org/officeDocument/2006/relationships" name="Test Report" sheetId="9" state="visible" r:id="rId9"/>
    <sheet xmlns:r="http://schemas.openxmlformats.org/officeDocument/2006/relationships" name="Bug Log" sheetId="10" state="visible" r:id="rId10"/>
  </sheets>
  <definedNames/>
  <calcPr calcId="124519" fullCalcOnLoad="1"/>
</workbook>
</file>

<file path=xl/styles.xml><?xml version="1.0" encoding="utf-8"?>
<styleSheet xmlns="http://schemas.openxmlformats.org/spreadsheetml/2006/main">
  <numFmts count="1">
    <numFmt numFmtId="164" formatCode="0.00 %"/>
  </numFmts>
  <fonts count="33">
    <font>
      <name val="Calibri"/>
      <family val="2"/>
      <color theme="1"/>
      <sz val="11"/>
      <scheme val="minor"/>
    </font>
    <font>
      <name val="Tahoma"/>
      <b val="1"/>
      <sz val="16"/>
    </font>
    <font>
      <name val="Tahoma"/>
      <b val="1"/>
      <color rgb="00000000"/>
      <sz val="9.5"/>
    </font>
    <font>
      <name val="Tahoma"/>
      <color rgb="00000000"/>
      <sz val="9"/>
    </font>
    <font>
      <name val="Tahoma"/>
      <b val="1"/>
      <color rgb="00FFFFFF"/>
      <sz val="9.5"/>
    </font>
    <font>
      <name val="Tahoma"/>
      <b val="1"/>
      <color rgb="00000000"/>
      <sz val="15"/>
    </font>
    <font>
      <name val="Tahoma"/>
      <color rgb="000563C1"/>
      <sz val="9"/>
      <u val="single"/>
    </font>
    <font>
      <name val="Tahoma"/>
      <b val="1"/>
      <color rgb="00002060"/>
      <sz val="9.5"/>
    </font>
    <font>
      <name val="Tahoma"/>
      <b val="1"/>
      <color rgb="00006100"/>
      <sz val="9.5"/>
    </font>
    <font>
      <name val="Tahoma"/>
      <b val="1"/>
      <color rgb="00000080"/>
      <sz val="14"/>
    </font>
    <font>
      <name val="Tahoma"/>
      <b val="1"/>
      <color rgb="00000080"/>
      <sz val="11"/>
    </font>
    <font>
      <name val="Tahoma"/>
      <color rgb="00000000"/>
      <sz val="9.5"/>
    </font>
    <font>
      <name val="Tahoma"/>
      <b val="1"/>
      <color rgb="001A365D"/>
      <sz val="11"/>
    </font>
    <font>
      <name val="Tahoma"/>
      <b val="1"/>
      <color rgb="00FFFFFF"/>
      <sz val="10"/>
    </font>
    <font>
      <name val="Tahoma"/>
      <b val="1"/>
      <color rgb="0022543D"/>
      <sz val="10"/>
    </font>
    <font>
      <name val="Tahoma"/>
      <b val="1"/>
      <color rgb="001A365D"/>
      <sz val="10"/>
    </font>
    <font>
      <name val="Tahoma"/>
      <b val="1"/>
      <color rgb="0022543D"/>
      <sz val="9.5"/>
    </font>
    <font>
      <name val="Tahoma"/>
      <color rgb="001A365D"/>
      <sz val="9.5"/>
    </font>
    <font>
      <name val="Tahoma"/>
      <b val="1"/>
      <color rgb="009C4221"/>
      <sz val="9.5"/>
    </font>
    <font>
      <name val="Tahoma"/>
      <b val="1"/>
      <color rgb="009B2C2C"/>
      <sz val="9.5"/>
    </font>
    <font>
      <name val="Segoe UI"/>
      <b val="1"/>
      <color rgb="001E3A8A"/>
      <sz val="15"/>
    </font>
    <font>
      <name val="Segoe UI"/>
      <b val="1"/>
      <color rgb="000F172A"/>
      <sz val="9.5"/>
    </font>
    <font>
      <name val="Segoe UI"/>
      <color rgb="001E293B"/>
      <sz val="9.5"/>
    </font>
    <font>
      <name val="Segoe UI"/>
      <b val="1"/>
      <color rgb="001E3A8A"/>
      <sz val="11"/>
    </font>
    <font>
      <name val="Segoe UI"/>
      <b val="1"/>
      <color rgb="00FFFFFF"/>
      <sz val="10"/>
    </font>
    <font>
      <name val="Segoe UI"/>
      <b val="1"/>
      <color rgb="0015803D"/>
      <sz val="9.5"/>
    </font>
    <font>
      <name val="Segoe UI"/>
      <i val="1"/>
      <color rgb="0064748B"/>
      <sz val="9"/>
    </font>
    <font>
      <name val="Segoe UI"/>
      <b val="1"/>
      <color rgb="0092400E"/>
      <sz val="9.5"/>
    </font>
    <font>
      <name val="Segoe UI"/>
      <b val="1"/>
      <color rgb="009A3412"/>
      <sz val="9.5"/>
    </font>
    <font>
      <name val="Segoe UI"/>
      <b val="1"/>
      <color rgb="00991B1B"/>
      <sz val="9.5"/>
    </font>
    <font>
      <name val="Segoe UI"/>
      <b val="1"/>
      <color rgb="001E293B"/>
      <sz val="9.5"/>
    </font>
    <font>
      <name val="Segoe UI"/>
      <b val="1"/>
      <color rgb="001E3A8A"/>
      <sz val="11.5"/>
    </font>
    <font>
      <name val="Segoe UI"/>
      <b val="1"/>
      <color rgb="00B91C1C"/>
      <sz val="9.5"/>
    </font>
  </fonts>
  <fills count="20">
    <fill>
      <patternFill/>
    </fill>
    <fill>
      <patternFill patternType="gray125"/>
    </fill>
    <fill>
      <patternFill patternType="solid">
        <fgColor rgb="00002060"/>
        <bgColor rgb="00002060"/>
      </patternFill>
    </fill>
    <fill>
      <patternFill patternType="solid">
        <fgColor rgb="00D9E1F2"/>
        <bgColor rgb="00D9E1F2"/>
      </patternFill>
    </fill>
    <fill>
      <patternFill patternType="solid">
        <fgColor rgb="00C6EFCE"/>
        <bgColor rgb="00C6EFCE"/>
      </patternFill>
    </fill>
    <fill>
      <patternFill patternType="solid">
        <fgColor rgb="00EBF8FF"/>
        <bgColor rgb="00EBF8FF"/>
      </patternFill>
    </fill>
    <fill>
      <patternFill patternType="solid">
        <fgColor rgb="002B6CB0"/>
        <bgColor rgb="002B6CB0"/>
      </patternFill>
    </fill>
    <fill>
      <patternFill patternType="solid">
        <fgColor rgb="00000080"/>
        <bgColor rgb="00000080"/>
      </patternFill>
    </fill>
    <fill>
      <patternFill patternType="solid">
        <fgColor rgb="00C6F6D5"/>
        <bgColor rgb="00C6F6D5"/>
      </patternFill>
    </fill>
    <fill>
      <patternFill patternType="solid">
        <fgColor rgb="00FEEBC8"/>
        <bgColor rgb="00FEEBC8"/>
      </patternFill>
    </fill>
    <fill>
      <patternFill patternType="solid">
        <fgColor rgb="00FED7D7"/>
        <bgColor rgb="00FED7D7"/>
      </patternFill>
    </fill>
    <fill>
      <patternFill patternType="solid">
        <fgColor rgb="00EFF6FF"/>
        <bgColor rgb="00EFF6FF"/>
      </patternFill>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2563EB"/>
        <bgColor rgb="002563EB"/>
      </patternFill>
    </fill>
    <fill>
      <patternFill patternType="solid">
        <fgColor rgb="00DCFCE7"/>
        <bgColor rgb="00DCFCE7"/>
      </patternFill>
    </fill>
    <fill>
      <patternFill patternType="solid">
        <fgColor rgb="00FEF3C7"/>
        <bgColor rgb="00FEF3C7"/>
      </patternFill>
    </fill>
    <fill>
      <patternFill patternType="solid">
        <fgColor rgb="00FFEDD5"/>
        <bgColor rgb="00FFEDD5"/>
      </patternFill>
    </fill>
    <fill>
      <patternFill patternType="solid">
        <fgColor rgb="00FEE2E2"/>
        <bgColor rgb="00FEE2E2"/>
      </patternFill>
    </fill>
  </fills>
  <borders count="33">
    <border>
      <left/>
      <right/>
      <top/>
      <bottom/>
      <diagonal/>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
      <left style="thin">
        <color rgb="00000000"/>
      </left>
      <right style="thin">
        <color rgb="00000000"/>
      </right>
      <top style="thin">
        <color rgb="00000000"/>
      </top>
      <bottom style="thin">
        <color rgb="00000000"/>
      </bottom>
    </border>
    <border>
      <left style="dashed">
        <color rgb="007F7F7F"/>
      </left>
      <right style="dashed">
        <color rgb="007F7F7F"/>
      </right>
      <top style="dashed">
        <color rgb="007F7F7F"/>
      </top>
      <bottom style="dashed">
        <color rgb="007F7F7F"/>
      </bottom>
    </border>
    <border>
      <left style="thin">
        <color rgb="00000000"/>
      </left>
      <right style="thin">
        <color rgb="00000000"/>
      </right>
      <top style="thin">
        <color rgb="00000000"/>
      </top>
      <bottom style="double">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style="medium">
        <color rgb="00000000"/>
      </left>
      <right style="medium">
        <color rgb="00000000"/>
      </right>
      <top style="medium">
        <color rgb="00000000"/>
      </top>
      <bottom style="medium">
        <color rgb="00000000"/>
      </bottom>
    </border>
    <border>
      <left/>
      <right/>
      <top style="medium">
        <color rgb="00000000"/>
      </top>
      <bottom/>
      <diagonal/>
    </border>
    <border>
      <left style="medium">
        <color rgb="00000000"/>
      </left>
      <right/>
      <top/>
      <bottom/>
      <diagonal/>
    </border>
    <border>
      <left/>
      <right style="medium">
        <color rgb="00000000"/>
      </right>
      <top style="medium">
        <color rgb="00000000"/>
      </top>
      <bottom/>
      <diagonal/>
    </border>
    <border>
      <left/>
      <right style="medium">
        <color rgb="00000000"/>
      </right>
      <top/>
      <bottom/>
      <diagonal/>
    </border>
    <border>
      <left style="medium">
        <color rgb="00000000"/>
      </left>
      <right/>
      <top/>
      <bottom style="medium">
        <color rgb="00000000"/>
      </bottom>
      <diagonal/>
    </border>
    <border>
      <left/>
      <right/>
      <top/>
      <bottom style="medium">
        <color rgb="00000000"/>
      </bottom>
      <diagonal/>
    </border>
    <border>
      <left/>
      <right style="medium">
        <color rgb="00000000"/>
      </right>
      <top/>
      <bottom style="medium">
        <color rgb="00000000"/>
      </bottom>
      <diagonal/>
    </border>
    <border>
      <left/>
      <right/>
      <top style="thin">
        <color rgb="00000000"/>
      </top>
      <bottom style="thin">
        <color rgb="00000000"/>
      </bottom>
      <diagonal/>
    </border>
    <border/>
    <border>
      <left style="thin">
        <color rgb="00A0AEC0"/>
      </left>
      <right style="thin">
        <color rgb="00A0AEC0"/>
      </right>
      <top style="thin">
        <color rgb="00A0AEC0"/>
      </top>
      <bottom style="thin">
        <color rgb="00A0AEC0"/>
      </bottom>
    </border>
    <border>
      <left style="thin">
        <color rgb="00A0AEC0"/>
      </left>
      <right style="thin">
        <color rgb="00A0AEC0"/>
      </right>
      <top style="thin">
        <color rgb="00A0AEC0"/>
      </top>
      <bottom style="double">
        <color rgb="001A365D"/>
      </bottom>
    </border>
    <border>
      <left/>
      <right/>
      <top style="thin">
        <color rgb="00A0AEC0"/>
      </top>
      <bottom/>
      <diagonal/>
    </border>
    <border>
      <left/>
      <right style="thin">
        <color rgb="00A0AEC0"/>
      </right>
      <top style="thin">
        <color rgb="00A0AEC0"/>
      </top>
      <bottom/>
      <diagonal/>
    </border>
    <border>
      <left/>
      <right style="thin">
        <color rgb="00A0AEC0"/>
      </right>
      <top style="thin">
        <color rgb="00A0AEC0"/>
      </top>
      <bottom style="thin">
        <color rgb="00A0AEC0"/>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s>
  <cellStyleXfs count="1">
    <xf numFmtId="0" fontId="0" fillId="0" borderId="0"/>
  </cellStyleXfs>
  <cellXfs count="132">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2" fillId="0" borderId="7" pivotButton="0" quotePrefix="0" xfId="0"/>
    <xf numFmtId="0" fontId="3" fillId="0" borderId="7" pivotButton="0" quotePrefix="0" xfId="0"/>
    <xf numFmtId="0" fontId="0" fillId="0" borderId="7" pivotButton="0" quotePrefix="0" xfId="0"/>
    <xf numFmtId="0" fontId="2" fillId="0" borderId="0" pivotButton="0" quotePrefix="0" xfId="0"/>
    <xf numFmtId="0" fontId="4" fillId="2" borderId="7"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7" applyAlignment="1" pivotButton="0" quotePrefix="0" xfId="0">
      <alignment horizontal="left" vertical="center" wrapText="1"/>
    </xf>
    <xf numFmtId="0" fontId="0" fillId="0" borderId="8" pivotButton="0" quotePrefix="0" xfId="0"/>
    <xf numFmtId="0" fontId="5" fillId="0" borderId="0" applyAlignment="1" pivotButton="0" quotePrefix="0" xfId="0">
      <alignment horizontal="center" vertical="center" wrapText="1"/>
    </xf>
    <xf numFmtId="0" fontId="6" fillId="0" borderId="7" applyAlignment="1" pivotButton="0" quotePrefix="0" xfId="0">
      <alignment horizontal="center" vertical="center" wrapText="1"/>
    </xf>
    <xf numFmtId="0" fontId="0" fillId="3" borderId="7" pivotButton="0" quotePrefix="0" xfId="0"/>
    <xf numFmtId="0" fontId="7" fillId="3" borderId="7" applyAlignment="1" pivotButton="0" quotePrefix="0" xfId="0">
      <alignment horizontal="left" vertical="center" wrapText="1"/>
    </xf>
    <xf numFmtId="0" fontId="2" fillId="0" borderId="7" applyAlignment="1" pivotButton="0" quotePrefix="0" xfId="0">
      <alignment horizontal="center" vertical="center" wrapText="1"/>
    </xf>
    <xf numFmtId="0" fontId="8" fillId="4" borderId="7" applyAlignment="1" pivotButton="0" quotePrefix="0" xfId="0">
      <alignment horizontal="center" vertical="center" wrapText="1"/>
    </xf>
    <xf numFmtId="164" fontId="3" fillId="0" borderId="7" applyAlignment="1" pivotButton="0" quotePrefix="0" xfId="0">
      <alignment horizontal="center" vertical="center" wrapText="1"/>
    </xf>
    <xf numFmtId="0" fontId="0" fillId="0" borderId="9" pivotButton="0" quotePrefix="0" xfId="0"/>
    <xf numFmtId="0" fontId="2" fillId="0" borderId="9" applyAlignment="1" pivotButton="0" quotePrefix="0" xfId="0">
      <alignment horizontal="left" vertical="center" wrapText="1"/>
    </xf>
    <xf numFmtId="0" fontId="2" fillId="0" borderId="9" applyAlignment="1" pivotButton="0" quotePrefix="0" xfId="0">
      <alignment horizontal="center" vertical="center" wrapText="1"/>
    </xf>
    <xf numFmtId="164" fontId="2" fillId="0" borderId="9" applyAlignment="1" pivotButton="0" quotePrefix="0" xfId="0">
      <alignment horizontal="center" vertical="center" wrapText="1"/>
    </xf>
    <xf numFmtId="0" fontId="2" fillId="0" borderId="0" applyAlignment="1" pivotButton="0" quotePrefix="0" xfId="0">
      <alignment horizontal="left" vertical="center" wrapText="1"/>
    </xf>
    <xf numFmtId="164" fontId="2" fillId="0" borderId="0" applyAlignment="1" pivotButton="0" quotePrefix="0" xfId="0">
      <alignment horizontal="right" vertical="center" wrapText="1"/>
    </xf>
    <xf numFmtId="0" fontId="3" fillId="0" borderId="0" pivotButton="0" quotePrefix="0" xfId="0"/>
    <xf numFmtId="0" fontId="3" fillId="0" borderId="0" applyAlignment="1" pivotButton="0" quotePrefix="0" xfId="0">
      <alignment horizontal="left" vertical="center" wrapText="1"/>
    </xf>
    <xf numFmtId="0" fontId="9" fillId="0" borderId="13" applyAlignment="1" pivotButton="0" quotePrefix="0" xfId="0">
      <alignment horizontal="center" vertical="center"/>
    </xf>
    <xf numFmtId="0" fontId="0" fillId="0" borderId="14"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12" pivotButton="0" quotePrefix="0" xfId="0"/>
    <xf numFmtId="0" fontId="10" fillId="2" borderId="7" applyAlignment="1" pivotButton="0" quotePrefix="0" xfId="0">
      <alignment horizontal="center" vertical="center" wrapText="1"/>
    </xf>
    <xf numFmtId="0" fontId="11" fillId="0" borderId="8" applyAlignment="1" pivotButton="0" quotePrefix="0" xfId="0">
      <alignment vertical="top" wrapText="1"/>
    </xf>
    <xf numFmtId="0" fontId="0" fillId="0" borderId="22" pivotButton="0" quotePrefix="0" xfId="0"/>
    <xf numFmtId="0" fontId="9" fillId="0" borderId="22" pivotButton="0" quotePrefix="0" xfId="0"/>
    <xf numFmtId="0" fontId="12" fillId="5" borderId="22" pivotButton="0" quotePrefix="0" xfId="0"/>
    <xf numFmtId="0" fontId="13" fillId="6" borderId="22" pivotButton="0" quotePrefix="0" xfId="0"/>
    <xf numFmtId="0" fontId="2" fillId="0" borderId="23" applyAlignment="1" pivotButton="0" quotePrefix="0" xfId="0">
      <alignment vertical="top"/>
    </xf>
    <xf numFmtId="0" fontId="11" fillId="0" borderId="23" applyAlignment="1" pivotButton="0" quotePrefix="0" xfId="0">
      <alignment vertical="top" wrapText="1"/>
    </xf>
    <xf numFmtId="0" fontId="2" fillId="0" borderId="23" applyAlignment="1" pivotButton="0" quotePrefix="0" xfId="0">
      <alignment vertical="top" wrapText="1"/>
    </xf>
    <xf numFmtId="0" fontId="2" fillId="0" borderId="22" applyAlignment="1" pivotButton="0" quotePrefix="0" xfId="0">
      <alignment vertical="center"/>
    </xf>
    <xf numFmtId="0" fontId="2" fillId="0" borderId="22" applyAlignment="1" pivotButton="0" quotePrefix="0" xfId="0">
      <alignment vertical="center" wrapText="1"/>
    </xf>
    <xf numFmtId="0" fontId="11" fillId="0" borderId="22" applyAlignment="1" pivotButton="0" quotePrefix="0" xfId="0">
      <alignment vertical="center" wrapText="1"/>
    </xf>
    <xf numFmtId="0" fontId="13" fillId="6" borderId="23" applyAlignment="1" pivotButton="0" quotePrefix="0" xfId="0">
      <alignment horizontal="center" vertical="center"/>
    </xf>
    <xf numFmtId="0" fontId="2" fillId="0" borderId="23" applyAlignment="1" pivotButton="0" quotePrefix="0" xfId="0">
      <alignment horizontal="center" vertical="center"/>
    </xf>
    <xf numFmtId="0" fontId="13" fillId="7" borderId="23" applyAlignment="1" pivotButton="0" quotePrefix="0" xfId="0">
      <alignment horizontal="center" vertical="center" wrapText="1"/>
    </xf>
    <xf numFmtId="0" fontId="2" fillId="0" borderId="23" applyAlignment="1" pivotButton="0" quotePrefix="0" xfId="0">
      <alignment horizontal="center" vertical="top"/>
    </xf>
    <xf numFmtId="0" fontId="14" fillId="8" borderId="23" applyAlignment="1" pivotButton="0" quotePrefix="0" xfId="0">
      <alignment horizontal="center" vertical="top"/>
    </xf>
    <xf numFmtId="0" fontId="11" fillId="0" borderId="23" applyAlignment="1" pivotButton="0" quotePrefix="0" xfId="0">
      <alignment horizontal="center" vertical="top"/>
    </xf>
    <xf numFmtId="0" fontId="9" fillId="0" borderId="22" applyAlignment="1" pivotButton="0" quotePrefix="0" xfId="0">
      <alignment horizontal="center" vertical="center"/>
    </xf>
    <xf numFmtId="0" fontId="5" fillId="0" borderId="22" applyAlignment="1" pivotButton="0" quotePrefix="0" xfId="0">
      <alignment horizontal="center" vertical="center" wrapText="1"/>
    </xf>
    <xf numFmtId="0" fontId="2" fillId="0" borderId="22" pivotButton="0" quotePrefix="0" xfId="0"/>
    <xf numFmtId="0" fontId="3" fillId="0" borderId="22" pivotButton="0" quotePrefix="0" xfId="0"/>
    <xf numFmtId="0" fontId="4" fillId="0" borderId="22" applyAlignment="1" pivotButton="0" quotePrefix="0" xfId="0">
      <alignment horizontal="center" vertical="center" wrapText="1"/>
    </xf>
    <xf numFmtId="0" fontId="13" fillId="7" borderId="23" applyAlignment="1" pivotButton="0" quotePrefix="0" xfId="0">
      <alignment horizontal="center" vertical="center"/>
    </xf>
    <xf numFmtId="0" fontId="3" fillId="0" borderId="22" applyAlignment="1" pivotButton="0" quotePrefix="0" xfId="0">
      <alignment horizontal="center" vertical="center" wrapText="1"/>
    </xf>
    <xf numFmtId="0" fontId="11" fillId="0" borderId="23" applyAlignment="1" pivotButton="0" quotePrefix="0" xfId="0">
      <alignment horizontal="center" vertical="center"/>
    </xf>
    <xf numFmtId="0" fontId="2" fillId="0" borderId="23" applyAlignment="1" pivotButton="0" quotePrefix="0" xfId="0">
      <alignment vertical="center"/>
    </xf>
    <xf numFmtId="164" fontId="11" fillId="0" borderId="23" applyAlignment="1" pivotButton="0" quotePrefix="0" xfId="0">
      <alignment horizontal="center" vertical="center"/>
    </xf>
    <xf numFmtId="0" fontId="2" fillId="5" borderId="24" applyAlignment="1" pivotButton="0" quotePrefix="0" xfId="0">
      <alignment horizontal="center" vertical="center"/>
    </xf>
    <xf numFmtId="0" fontId="2" fillId="5" borderId="24" pivotButton="0" quotePrefix="0" xfId="0"/>
    <xf numFmtId="0" fontId="2" fillId="0" borderId="22" applyAlignment="1" pivotButton="0" quotePrefix="0" xfId="0">
      <alignment horizontal="left" vertical="center" wrapText="1"/>
    </xf>
    <xf numFmtId="164" fontId="2" fillId="0" borderId="22" applyAlignment="1" pivotButton="0" quotePrefix="0" xfId="0">
      <alignment horizontal="right" vertical="center" wrapText="1"/>
    </xf>
    <xf numFmtId="0" fontId="15" fillId="0" borderId="22" applyAlignment="1" pivotButton="0" quotePrefix="0" xfId="0">
      <alignment horizontal="right" vertical="center"/>
    </xf>
    <xf numFmtId="0" fontId="14" fillId="0" borderId="22" applyAlignment="1" pivotButton="0" quotePrefix="0" xfId="0">
      <alignment horizontal="right" vertical="center"/>
    </xf>
    <xf numFmtId="0" fontId="16" fillId="0" borderId="22" pivotButton="0" quotePrefix="0" xfId="0"/>
    <xf numFmtId="0" fontId="17" fillId="0" borderId="22" pivotButton="0" quotePrefix="0" xfId="0"/>
    <xf numFmtId="0" fontId="11" fillId="0" borderId="23" applyAlignment="1" pivotButton="0" quotePrefix="0" xfId="0">
      <alignment vertical="center" wrapText="1"/>
    </xf>
    <xf numFmtId="0" fontId="16" fillId="8" borderId="23" applyAlignment="1" pivotButton="0" quotePrefix="0" xfId="0">
      <alignment horizontal="center" vertical="center"/>
    </xf>
    <xf numFmtId="0" fontId="18" fillId="9" borderId="23" applyAlignment="1" pivotButton="0" quotePrefix="0" xfId="0">
      <alignment horizontal="center" vertical="center"/>
    </xf>
    <xf numFmtId="0" fontId="19" fillId="10" borderId="23" applyAlignment="1" pivotButton="0" quotePrefix="0" xfId="0">
      <alignment horizontal="center" vertical="center"/>
    </xf>
    <xf numFmtId="0" fontId="20" fillId="0" borderId="13" applyAlignment="1" pivotButton="0" quotePrefix="0" xfId="0">
      <alignment horizontal="center" vertical="center"/>
    </xf>
    <xf numFmtId="0" fontId="21" fillId="11" borderId="7" pivotButton="0" quotePrefix="0" xfId="0"/>
    <xf numFmtId="0" fontId="22" fillId="0" borderId="7" pivotButton="0" quotePrefix="0" xfId="0"/>
    <xf numFmtId="0" fontId="23" fillId="2" borderId="7" applyAlignment="1" pivotButton="0" quotePrefix="0" xfId="0">
      <alignment horizontal="center" vertical="center" wrapText="1"/>
    </xf>
    <xf numFmtId="0" fontId="24" fillId="12" borderId="28" applyAlignment="1" pivotButton="0" quotePrefix="0" xfId="0">
      <alignment horizontal="center" vertical="center"/>
    </xf>
    <xf numFmtId="0" fontId="22" fillId="0" borderId="28" applyAlignment="1" pivotButton="0" quotePrefix="0" xfId="0">
      <alignment horizontal="center" vertical="center"/>
    </xf>
    <xf numFmtId="0" fontId="22" fillId="0" borderId="28" applyAlignment="1" pivotButton="0" quotePrefix="0" xfId="0">
      <alignment vertical="center" wrapText="1"/>
    </xf>
    <xf numFmtId="0" fontId="20" fillId="0" borderId="22" pivotButton="0" quotePrefix="0" xfId="0"/>
    <xf numFmtId="0" fontId="23" fillId="5" borderId="22" pivotButton="0" quotePrefix="0" xfId="0"/>
    <xf numFmtId="0" fontId="21" fillId="13" borderId="28" applyAlignment="1" pivotButton="0" quotePrefix="0" xfId="0">
      <alignment vertical="center" wrapText="1"/>
    </xf>
    <xf numFmtId="0" fontId="22" fillId="13" borderId="28" applyAlignment="1" pivotButton="0" quotePrefix="0" xfId="0">
      <alignment vertical="center" wrapText="1"/>
    </xf>
    <xf numFmtId="0" fontId="21" fillId="14" borderId="28" applyAlignment="1" pivotButton="0" quotePrefix="0" xfId="0">
      <alignment vertical="center" wrapText="1"/>
    </xf>
    <xf numFmtId="0" fontId="22" fillId="14" borderId="28" applyAlignment="1" pivotButton="0" quotePrefix="0" xfId="0">
      <alignment vertical="center" wrapText="1"/>
    </xf>
    <xf numFmtId="0" fontId="21" fillId="0" borderId="22" applyAlignment="1" pivotButton="0" quotePrefix="0" xfId="0">
      <alignment vertical="center"/>
    </xf>
    <xf numFmtId="0" fontId="22" fillId="0" borderId="22" applyAlignment="1" pivotButton="0" quotePrefix="0" xfId="0">
      <alignment vertical="center" wrapText="1"/>
    </xf>
    <xf numFmtId="0" fontId="24" fillId="15" borderId="28" applyAlignment="1" pivotButton="0" quotePrefix="0" xfId="0">
      <alignment horizontal="center" vertical="center"/>
    </xf>
    <xf numFmtId="0" fontId="0" fillId="0" borderId="27" pivotButton="0" quotePrefix="0" xfId="0"/>
    <xf numFmtId="0" fontId="21" fillId="0" borderId="28" applyAlignment="1" pivotButton="0" quotePrefix="0" xfId="0">
      <alignment horizontal="center" vertical="center"/>
    </xf>
    <xf numFmtId="0" fontId="24" fillId="12" borderId="28" applyAlignment="1" pivotButton="0" quotePrefix="0" xfId="0">
      <alignment horizontal="center" vertical="center" wrapText="1"/>
    </xf>
    <xf numFmtId="0" fontId="21" fillId="14" borderId="28" applyAlignment="1" pivotButton="0" quotePrefix="0" xfId="0">
      <alignment horizontal="center" vertical="top"/>
    </xf>
    <xf numFmtId="0" fontId="22" fillId="14" borderId="28" applyAlignment="1" pivotButton="0" quotePrefix="0" xfId="0">
      <alignment horizontal="left" vertical="top" wrapText="1"/>
    </xf>
    <xf numFmtId="0" fontId="25" fillId="16" borderId="28" applyAlignment="1" pivotButton="0" quotePrefix="0" xfId="0">
      <alignment horizontal="center" vertical="top"/>
    </xf>
    <xf numFmtId="0" fontId="26" fillId="14" borderId="28" applyAlignment="1" pivotButton="0" quotePrefix="0" xfId="0">
      <alignment horizontal="center" vertical="top"/>
    </xf>
    <xf numFmtId="0" fontId="21" fillId="13" borderId="28" applyAlignment="1" pivotButton="0" quotePrefix="0" xfId="0">
      <alignment horizontal="center" vertical="top"/>
    </xf>
    <xf numFmtId="0" fontId="22" fillId="13" borderId="28" applyAlignment="1" pivotButton="0" quotePrefix="0" xfId="0">
      <alignment horizontal="left" vertical="top" wrapText="1"/>
    </xf>
    <xf numFmtId="0" fontId="26" fillId="13" borderId="28" applyAlignment="1" pivotButton="0" quotePrefix="0" xfId="0">
      <alignment horizontal="center" vertical="top"/>
    </xf>
    <xf numFmtId="0" fontId="20" fillId="0" borderId="22" applyAlignment="1" pivotButton="0" quotePrefix="0" xfId="0">
      <alignment horizontal="center" vertical="center"/>
    </xf>
    <xf numFmtId="0" fontId="22" fillId="14" borderId="28" applyAlignment="1" pivotButton="0" quotePrefix="0" xfId="0">
      <alignment horizontal="center" vertical="center"/>
    </xf>
    <xf numFmtId="0" fontId="21" fillId="14" borderId="28" applyAlignment="1" pivotButton="0" quotePrefix="0" xfId="0">
      <alignment vertical="center"/>
    </xf>
    <xf numFmtId="164" fontId="22" fillId="14" borderId="28" applyAlignment="1" pivotButton="0" quotePrefix="0" xfId="0">
      <alignment horizontal="center" vertical="center"/>
    </xf>
    <xf numFmtId="0" fontId="22" fillId="13" borderId="28" applyAlignment="1" pivotButton="0" quotePrefix="0" xfId="0">
      <alignment horizontal="center" vertical="center"/>
    </xf>
    <xf numFmtId="0" fontId="21" fillId="13" borderId="28" applyAlignment="1" pivotButton="0" quotePrefix="0" xfId="0">
      <alignment vertical="center"/>
    </xf>
    <xf numFmtId="164" fontId="22" fillId="13" borderId="28" applyAlignment="1" pivotButton="0" quotePrefix="0" xfId="0">
      <alignment horizontal="center" vertical="center"/>
    </xf>
    <xf numFmtId="0" fontId="21" fillId="11" borderId="29" applyAlignment="1" pivotButton="0" quotePrefix="0" xfId="0">
      <alignment horizontal="center" vertical="center"/>
    </xf>
    <xf numFmtId="0" fontId="21" fillId="11" borderId="29" pivotButton="0" quotePrefix="0" xfId="0"/>
    <xf numFmtId="0" fontId="21" fillId="14" borderId="28" applyAlignment="1" pivotButton="0" quotePrefix="0" xfId="0">
      <alignment horizontal="center" vertical="center"/>
    </xf>
    <xf numFmtId="0" fontId="27" fillId="17" borderId="28" applyAlignment="1" pivotButton="0" quotePrefix="0" xfId="0">
      <alignment horizontal="center" vertical="center"/>
    </xf>
    <xf numFmtId="0" fontId="25" fillId="16" borderId="28" applyAlignment="1" pivotButton="0" quotePrefix="0" xfId="0">
      <alignment horizontal="center" vertical="center"/>
    </xf>
    <xf numFmtId="0" fontId="21" fillId="13" borderId="28" applyAlignment="1" pivotButton="0" quotePrefix="0" xfId="0">
      <alignment horizontal="center" vertical="center"/>
    </xf>
    <xf numFmtId="0" fontId="28" fillId="18" borderId="28" applyAlignment="1" pivotButton="0" quotePrefix="0" xfId="0">
      <alignment horizontal="center" vertical="center"/>
    </xf>
    <xf numFmtId="0" fontId="29" fillId="19" borderId="28" applyAlignment="1" pivotButton="0" quotePrefix="0" xfId="0">
      <alignment horizontal="center" vertical="center"/>
    </xf>
    <xf numFmtId="0" fontId="30" fillId="11" borderId="7" pivotButton="0" quotePrefix="0" xfId="0"/>
    <xf numFmtId="0" fontId="31" fillId="2" borderId="7" applyAlignment="1" pivotButton="0" quotePrefix="0" xfId="0">
      <alignment horizontal="center" vertical="center" wrapText="1"/>
    </xf>
    <xf numFmtId="0" fontId="31" fillId="5" borderId="22" pivotButton="0" quotePrefix="0" xfId="0"/>
    <xf numFmtId="0" fontId="20" fillId="0" borderId="22" applyAlignment="1" pivotButton="0" quotePrefix="0" xfId="0">
      <alignment vertical="center"/>
    </xf>
    <xf numFmtId="0" fontId="30" fillId="11" borderId="22" applyAlignment="1" pivotButton="0" quotePrefix="0" xfId="0">
      <alignment vertical="center"/>
    </xf>
    <xf numFmtId="0" fontId="30" fillId="11" borderId="0" pivotButton="0" quotePrefix="0" xfId="0"/>
    <xf numFmtId="0" fontId="22" fillId="0" borderId="0" pivotButton="0" quotePrefix="0" xfId="0"/>
    <xf numFmtId="0" fontId="0" fillId="0" borderId="32" pivotButton="0" quotePrefix="0" xfId="0"/>
    <xf numFmtId="0" fontId="32" fillId="19" borderId="28" applyAlignment="1" pivotButton="0" quotePrefix="0" xfId="0">
      <alignment horizontal="center" vertical="center"/>
    </xf>
    <xf numFmtId="0" fontId="30" fillId="14" borderId="28" applyAlignment="1" pivotButton="0" quotePrefix="0" xfId="0">
      <alignment horizontal="center" vertical="center"/>
    </xf>
    <xf numFmtId="0" fontId="22" fillId="14" borderId="28" applyAlignment="1" pivotButton="0" quotePrefix="0" xfId="0">
      <alignment horizontal="left" vertical="center" wrapText="1"/>
    </xf>
    <xf numFmtId="0" fontId="30" fillId="13" borderId="28" applyAlignment="1" pivotButton="0" quotePrefix="0" xfId="0">
      <alignment horizontal="center" vertical="center"/>
    </xf>
    <xf numFmtId="0" fontId="22" fillId="13" borderId="28" applyAlignment="1" pivotButton="0" quotePrefix="0" xfId="0">
      <alignment horizontal="left" vertical="center" wrapText="1"/>
    </xf>
    <xf numFmtId="0" fontId="20" fillId="0" borderId="2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Execution Status</a:t>
            </a:r>
          </a:p>
        </rich>
      </tx>
    </title>
    <plotArea>
      <pieChart>
        <varyColors val="1"/>
        <ser>
          <idx val="0"/>
          <order val="0"/>
          <tx>
            <strRef>
              <f>'Test Report'!K2</f>
            </strRef>
          </tx>
          <spPr>
            <a:ln xmlns:a="http://schemas.openxmlformats.org/drawingml/2006/main">
              <a:prstDash val="solid"/>
            </a:ln>
          </spPr>
          <cat>
            <numRef>
              <f>'Test Report'!$J$3:$J$6</f>
            </numRef>
          </cat>
          <val>
            <numRef>
              <f>'Test Report'!$K$3:$K$6</f>
            </numRef>
          </val>
        </ser>
        <dLbls>
          <showVal val="0"/>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21</row>
      <rowOff>0</rowOff>
    </from>
    <ext cx="504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F17"/>
  <sheetViews>
    <sheetView showGridLines="1" workbookViewId="0">
      <selection activeCell="A1" sqref="A1"/>
    </sheetView>
  </sheetViews>
  <sheetFormatPr baseColWidth="8" defaultRowHeight="15"/>
  <cols>
    <col width="16" customWidth="1" min="1" max="1"/>
    <col width="18" customWidth="1" min="2" max="2"/>
    <col width="28" customWidth="1" min="3" max="3"/>
    <col width="24" customWidth="1" min="4" max="4"/>
    <col width="10" customWidth="1" min="5" max="5"/>
    <col width="38" customWidth="1" min="6" max="6"/>
    <col width="35" customWidth="1" min="7" max="7"/>
  </cols>
  <sheetData>
    <row r="2" ht="28" customHeight="1">
      <c r="A2" s="77" t="inlineStr">
        <is>
          <t>INTEGRATION TEST CASE (ITC) - CHIẾN LƯỢC SANDWICH</t>
        </is>
      </c>
      <c r="B2" s="31" t="n"/>
      <c r="C2" s="31" t="n"/>
      <c r="D2" s="31" t="n"/>
      <c r="E2" s="31" t="n"/>
      <c r="F2" s="32" t="n"/>
    </row>
    <row r="3">
      <c r="A3" s="33" t="n"/>
      <c r="B3" s="34" t="n"/>
      <c r="C3" s="34" t="n"/>
      <c r="D3" s="34" t="n"/>
      <c r="E3" s="34" t="n"/>
      <c r="F3" s="35" t="n"/>
    </row>
    <row r="4" ht="23" customHeight="1">
      <c r="A4" s="118" t="inlineStr">
        <is>
          <t>Project Name</t>
        </is>
      </c>
      <c r="B4" s="79" t="inlineStr">
        <is>
          <t>GameRent - Website Cho Thuê Tài Khoản Game Tự Động 24/7</t>
        </is>
      </c>
      <c r="C4" s="36" t="n"/>
      <c r="D4" s="118" t="inlineStr">
        <is>
          <t>Creator</t>
        </is>
      </c>
      <c r="E4" s="79" t="inlineStr">
        <is>
          <t>Nhóm 15 - Lớp Kiểm thử phần mềm-1-1-26(N05)</t>
        </is>
      </c>
      <c r="F4" s="36" t="n"/>
    </row>
    <row r="5" ht="23" customHeight="1">
      <c r="A5" s="118" t="inlineStr">
        <is>
          <t>Project Code</t>
        </is>
      </c>
      <c r="B5" s="79" t="inlineStr">
        <is>
          <t>GAMERENT</t>
        </is>
      </c>
      <c r="C5" s="36" t="n"/>
      <c r="D5" s="118" t="inlineStr">
        <is>
          <t>Reviewer/Approver</t>
        </is>
      </c>
      <c r="E5" s="79" t="inlineStr">
        <is>
          <t>ThS. Phạm Thị Loan</t>
        </is>
      </c>
      <c r="F5" s="36" t="n"/>
    </row>
    <row r="6" ht="23" customHeight="1">
      <c r="A6" s="118" t="inlineStr">
        <is>
          <t>Document Code</t>
        </is>
      </c>
      <c r="B6" s="79">
        <f>B5&amp;"_"&amp;"ITC_v1.0"</f>
        <v/>
      </c>
      <c r="C6" s="36" t="n"/>
      <c r="D6" s="118" t="inlineStr">
        <is>
          <t>Issue Date</t>
        </is>
      </c>
      <c r="E6" s="79" t="inlineStr">
        <is>
          <t>26/09/2026</t>
        </is>
      </c>
      <c r="F6" s="36" t="n"/>
    </row>
    <row r="7" ht="23" customHeight="1">
      <c r="A7" s="118" t="inlineStr">
        <is>
          <t>Version</t>
        </is>
      </c>
      <c r="B7" s="79" t="inlineStr">
        <is>
          <t>1.0</t>
        </is>
      </c>
      <c r="C7" s="36" t="n"/>
      <c r="D7" s="118" t="inlineStr">
        <is>
          <t>Status</t>
        </is>
      </c>
      <c r="E7" s="79" t="inlineStr">
        <is>
          <t>Approved</t>
        </is>
      </c>
      <c r="F7" s="36" t="n"/>
    </row>
    <row r="9">
      <c r="A9" s="10" t="inlineStr">
        <is>
          <t>Record of change</t>
        </is>
      </c>
    </row>
    <row r="10" ht="26" customHeight="1">
      <c r="A10" s="119" t="inlineStr">
        <is>
          <t>Record of change</t>
        </is>
      </c>
      <c r="B10" s="11" t="inlineStr">
        <is>
          <t>Version</t>
        </is>
      </c>
      <c r="C10" s="11" t="inlineStr">
        <is>
          <t>Change Item</t>
        </is>
      </c>
      <c r="D10" s="11" t="inlineStr">
        <is>
          <t>*A,D,M</t>
        </is>
      </c>
      <c r="E10" s="11" t="inlineStr">
        <is>
          <t>Change description</t>
        </is>
      </c>
      <c r="F10" s="11" t="inlineStr">
        <is>
          <t>Reference</t>
        </is>
      </c>
    </row>
    <row r="11" ht="26" customHeight="1">
      <c r="A11" s="81" t="inlineStr">
        <is>
          <t>&lt;Date when these changes are effective&gt;</t>
        </is>
      </c>
      <c r="B11" s="81" t="inlineStr">
        <is>
          <t>1.0</t>
        </is>
      </c>
      <c r="C11" s="81" t="inlineStr">
        <is>
          <t>Tạo tài liệu và thiết kế ca kiểm thử tích hợp</t>
        </is>
      </c>
      <c r="D11" s="81" t="inlineStr">
        <is>
          <t>A</t>
        </is>
      </c>
      <c r="E11" s="81" t="inlineStr">
        <is>
          <t>Thiết kế trọn bộ Integration Test Case theo chuẩn ma trận kiểm thử phần mềm</t>
        </is>
      </c>
      <c r="F11" s="81" t="inlineStr">
        <is>
          <t>&lt;List of documents which are referred in this version.&gt;</t>
        </is>
      </c>
    </row>
    <row r="12" ht="45" customHeight="1">
      <c r="A12" s="82" t="inlineStr">
        <is>
          <t>26/09/2026</t>
        </is>
      </c>
      <c r="B12" s="82" t="inlineStr">
        <is>
          <t>1.0</t>
        </is>
      </c>
      <c r="C12" s="82" t="inlineStr">
        <is>
          <t>Integration Test Cases</t>
        </is>
      </c>
      <c r="D12" s="82" t="inlineStr">
        <is>
          <t>A</t>
        </is>
      </c>
      <c r="E12" s="83" t="inlineStr">
        <is>
          <t>Khởi tạo và hoàn thiện đầy đủ bộ 10 kịch bản Integration Test Cases (ITC-01 đến ITC-10) theo chiến lược tích hợp Sandwich (Hybrid) cho dự án GameRent do Nhóm 15 thực hiện (kiểm soát tương tác đồng bộ giữa React Components ↔ AppContext Global State ↔ LocalStorage Database).</t>
        </is>
      </c>
      <c r="F12" s="83" t="inlineStr">
        <is>
          <t>SRS, Kiến trúc Sandwich, Vitest integrationFlows.test.js, Báo cáo BTL KTPM</t>
        </is>
      </c>
    </row>
    <row r="13">
      <c r="A13" s="14" t="inlineStr"/>
      <c r="B13" s="14" t="inlineStr"/>
      <c r="C13" s="14" t="inlineStr"/>
      <c r="D13" s="14" t="inlineStr"/>
      <c r="E13" s="14" t="inlineStr"/>
      <c r="F13" s="14" t="inlineStr"/>
    </row>
    <row r="14">
      <c r="A14" s="14" t="inlineStr"/>
      <c r="B14" s="14" t="inlineStr"/>
      <c r="C14" s="14" t="inlineStr"/>
      <c r="D14" s="14" t="inlineStr"/>
      <c r="E14" s="14" t="inlineStr"/>
      <c r="F14" s="14" t="inlineStr"/>
    </row>
    <row r="15">
      <c r="A15" s="14" t="inlineStr"/>
      <c r="B15" s="14" t="inlineStr"/>
      <c r="C15" s="14" t="inlineStr"/>
      <c r="D15" s="14" t="inlineStr"/>
      <c r="E15" s="14" t="inlineStr"/>
      <c r="F15" s="14" t="inlineStr"/>
    </row>
    <row r="16">
      <c r="A16" s="14" t="inlineStr"/>
      <c r="B16" s="14" t="inlineStr"/>
      <c r="C16" s="14" t="inlineStr"/>
      <c r="D16" s="14" t="inlineStr"/>
      <c r="E16" s="14" t="inlineStr"/>
      <c r="F16" s="14" t="inlineStr"/>
    </row>
    <row r="17">
      <c r="A17" s="14" t="inlineStr"/>
      <c r="B17" s="14" t="inlineStr"/>
      <c r="C17" s="14" t="inlineStr"/>
      <c r="D17" s="14" t="inlineStr"/>
      <c r="E17" s="14" t="inlineStr"/>
      <c r="F17" s="14" t="inlineStr"/>
    </row>
  </sheetData>
  <mergeCells count="9">
    <mergeCell ref="E4:F4"/>
    <mergeCell ref="B6:C6"/>
    <mergeCell ref="A2:F3"/>
    <mergeCell ref="E6:F6"/>
    <mergeCell ref="B7:C7"/>
    <mergeCell ref="E7:F7"/>
    <mergeCell ref="B5:C5"/>
    <mergeCell ref="E5:F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
  <sheetViews>
    <sheetView showGridLines="1" workbookViewId="0">
      <selection activeCell="A1" sqref="A1"/>
    </sheetView>
  </sheetViews>
  <sheetFormatPr baseColWidth="8" defaultRowHeight="15"/>
  <cols>
    <col width="24" customWidth="1" min="2" max="2"/>
    <col width="36" customWidth="1" min="3" max="3"/>
    <col width="75" customWidth="1" min="4" max="4"/>
  </cols>
  <sheetData>
    <row r="1">
      <c r="A1" s="39" t="n"/>
      <c r="B1" s="39" t="n"/>
      <c r="C1" s="39" t="n"/>
      <c r="D1" s="39" t="n"/>
      <c r="E1" s="39" t="n"/>
      <c r="F1" s="39" t="n"/>
      <c r="G1" s="39" t="n"/>
      <c r="H1" s="39" t="n"/>
      <c r="I1" s="39" t="n"/>
      <c r="J1" s="39" t="n"/>
      <c r="K1" s="39" t="n"/>
      <c r="L1" s="39" t="n"/>
      <c r="M1" s="39" t="n"/>
      <c r="N1" s="39" t="n"/>
    </row>
    <row r="2" ht="28" customHeight="1">
      <c r="A2" s="39" t="n"/>
      <c r="B2" s="84" t="inlineStr">
        <is>
          <t>CHIẾN LƯỢC KIỂM THỬ TÍCH HỢP SANDWICH (HYBRID INTEGRATION STRATEGY)</t>
        </is>
      </c>
      <c r="C2" s="39" t="n"/>
      <c r="D2" s="39" t="n"/>
      <c r="E2" s="39" t="n"/>
      <c r="F2" s="39" t="n"/>
      <c r="G2" s="39" t="n"/>
      <c r="H2" s="39" t="n"/>
      <c r="I2" s="39" t="n"/>
      <c r="J2" s="39" t="n"/>
      <c r="K2" s="39" t="n"/>
      <c r="L2" s="39" t="n"/>
      <c r="M2" s="39" t="n"/>
      <c r="N2" s="39" t="n"/>
    </row>
    <row r="3">
      <c r="A3" s="39" t="n"/>
      <c r="B3" s="39" t="n"/>
      <c r="C3" s="39" t="n"/>
      <c r="D3" s="39" t="n"/>
      <c r="E3" s="39" t="n"/>
      <c r="F3" s="39" t="n"/>
      <c r="G3" s="39" t="n"/>
      <c r="H3" s="39" t="n"/>
      <c r="I3" s="39" t="n"/>
      <c r="J3" s="39" t="n"/>
      <c r="K3" s="39" t="n"/>
      <c r="L3" s="39" t="n"/>
      <c r="M3" s="39" t="n"/>
      <c r="N3" s="39" t="n"/>
    </row>
    <row r="4" ht="24" customHeight="1">
      <c r="A4" s="39" t="n"/>
      <c r="B4" s="120" t="inlineStr">
        <is>
          <t>1. MÔ HÌNH KIẾN TRÚC 3 TẦNG TRONG KIỂM THỬ TÍCH HỢP DỰ ÁN GAMERENT</t>
        </is>
      </c>
      <c r="C4" s="39" t="n"/>
      <c r="D4" s="39" t="n"/>
      <c r="E4" s="39" t="n"/>
      <c r="F4" s="39" t="n"/>
      <c r="G4" s="39" t="n"/>
      <c r="H4" s="39" t="n"/>
      <c r="I4" s="39" t="n"/>
      <c r="J4" s="39" t="n"/>
      <c r="K4" s="39" t="n"/>
      <c r="L4" s="39" t="n"/>
      <c r="M4" s="39" t="n"/>
      <c r="N4" s="39" t="n"/>
    </row>
    <row r="5" ht="26" customHeight="1">
      <c r="A5" s="39" t="n"/>
      <c r="B5" s="81" t="inlineStr">
        <is>
          <t>Tầng tích hợp</t>
        </is>
      </c>
      <c r="C5" s="81" t="inlineStr">
        <is>
          <t>Thành phần hệ thống</t>
        </is>
      </c>
      <c r="D5" s="81" t="inlineStr">
        <is>
          <t>Chi tiết các module / hàm nghiệp vụ tham gia</t>
        </is>
      </c>
      <c r="E5" s="39" t="n"/>
      <c r="F5" s="39" t="n"/>
      <c r="G5" s="39" t="n"/>
      <c r="H5" s="39" t="n"/>
      <c r="I5" s="39" t="n"/>
      <c r="J5" s="39" t="n"/>
      <c r="K5" s="39" t="n"/>
      <c r="L5" s="39" t="n"/>
      <c r="M5" s="39" t="n"/>
      <c r="N5" s="39" t="n"/>
    </row>
    <row r="6" ht="44" customHeight="1">
      <c r="A6" s="39" t="n"/>
      <c r="B6" s="87" t="inlineStr">
        <is>
          <t>Tầng Thượng tầng (Top-Down Layer)</t>
        </is>
      </c>
      <c r="C6" s="87" t="inlineStr">
        <is>
          <t>Giao diện người dùng React 19 UI Components</t>
        </is>
      </c>
      <c r="D6" s="87" t="inlineStr">
        <is>
          <t>AuthModal, DepositModal, RentConfirmModal, ExtendRentalModal, DisputeModal, ReturnEarlyModal, CountdownTimer, OverviewDashboard.</t>
        </is>
      </c>
      <c r="E6" s="39" t="n"/>
      <c r="F6" s="39" t="n"/>
      <c r="G6" s="39" t="n"/>
      <c r="H6" s="39" t="n"/>
      <c r="I6" s="39" t="n"/>
      <c r="J6" s="39" t="n"/>
      <c r="K6" s="39" t="n"/>
      <c r="L6" s="39" t="n"/>
      <c r="M6" s="39" t="n"/>
      <c r="N6" s="39" t="n"/>
    </row>
    <row r="7" ht="44" customHeight="1">
      <c r="A7" s="39" t="n"/>
      <c r="B7" s="89" t="inlineStr">
        <is>
          <t>Tầng Trung gian (Target Middle Layer)</t>
        </is>
      </c>
      <c r="C7" s="89" t="inlineStr">
        <is>
          <t>Bộ quản lý trạng thái toàn cục &amp; Điều phối nghiệp vụ</t>
        </is>
      </c>
      <c r="D7" s="89" t="inlineStr">
        <is>
          <t>React Context API (AppContext), Custom Hooks (useAuth, useWallet, useRentals, useAccounts), cơ chế Pub/Sub và State Dispatcher.</t>
        </is>
      </c>
      <c r="E7" s="39" t="n"/>
      <c r="F7" s="39" t="n"/>
      <c r="G7" s="39" t="n"/>
      <c r="H7" s="39" t="n"/>
      <c r="I7" s="39" t="n"/>
      <c r="J7" s="39" t="n"/>
      <c r="K7" s="39" t="n"/>
      <c r="L7" s="39" t="n"/>
      <c r="M7" s="39" t="n"/>
      <c r="N7" s="39" t="n"/>
    </row>
    <row r="8" ht="44" customHeight="1">
      <c r="A8" s="39" t="n"/>
      <c r="B8" s="87" t="inlineStr">
        <is>
          <t>Tầng Hạ tầng (Bottom-Up Layer)</t>
        </is>
      </c>
      <c r="C8" s="87" t="inlineStr">
        <is>
          <t>Kho lưu trữ dữ liệu &amp; Thư viện hàm xử lý lõi</t>
        </is>
      </c>
      <c r="D8" s="87" t="inlineStr">
        <is>
          <t>LocalStorage Atomic Mock Database (gamerent_users, gamerent_accounts, gamerent_rentals, gamerent_transactions), validationUtils, passwordGenerator.</t>
        </is>
      </c>
      <c r="E8" s="39" t="n"/>
      <c r="F8" s="39" t="n"/>
      <c r="G8" s="39" t="n"/>
      <c r="H8" s="39" t="n"/>
      <c r="I8" s="39" t="n"/>
      <c r="J8" s="39" t="n"/>
      <c r="K8" s="39" t="n"/>
      <c r="L8" s="39" t="n"/>
      <c r="M8" s="39" t="n"/>
      <c r="N8" s="39" t="n"/>
    </row>
    <row r="9">
      <c r="A9" s="39" t="n"/>
      <c r="B9" s="39" t="n"/>
      <c r="C9" s="39" t="n"/>
      <c r="D9" s="39" t="n"/>
      <c r="E9" s="39" t="n"/>
      <c r="F9" s="39" t="n"/>
      <c r="G9" s="39" t="n"/>
      <c r="H9" s="39" t="n"/>
      <c r="I9" s="39" t="n"/>
      <c r="J9" s="39" t="n"/>
      <c r="K9" s="39" t="n"/>
      <c r="L9" s="39" t="n"/>
      <c r="M9" s="39" t="n"/>
      <c r="N9" s="39" t="n"/>
    </row>
    <row r="10">
      <c r="A10" s="39" t="n"/>
      <c r="B10" s="41" t="inlineStr">
        <is>
          <t>2. NGUYÊN LÝ VẬN HÀNH CHIẾN LƯỢC SANDWICH TRONG DỰ ÁN</t>
        </is>
      </c>
      <c r="C10" s="39" t="n"/>
      <c r="D10" s="39" t="n"/>
      <c r="E10" s="39" t="n"/>
      <c r="F10" s="39" t="n"/>
      <c r="G10" s="39" t="n"/>
      <c r="H10" s="39" t="n"/>
      <c r="I10" s="39" t="n"/>
      <c r="J10" s="39" t="n"/>
      <c r="K10" s="39" t="n"/>
      <c r="L10" s="39" t="n"/>
      <c r="M10" s="39" t="n"/>
      <c r="N10" s="39" t="n"/>
    </row>
    <row r="11">
      <c r="A11" s="39" t="n"/>
      <c r="B11" s="42" t="inlineStr">
        <is>
          <t>Hướng tích hợp</t>
        </is>
      </c>
      <c r="C11" s="42" t="inlineStr">
        <is>
          <t>Mục tiêu kiểm thử</t>
        </is>
      </c>
      <c r="D11" s="42" t="inlineStr">
        <is>
          <t>Phương pháp kiểm chứng thực tế</t>
        </is>
      </c>
      <c r="E11" s="39" t="n"/>
      <c r="F11" s="39" t="n"/>
      <c r="G11" s="39" t="n"/>
      <c r="H11" s="39" t="n"/>
      <c r="I11" s="39" t="n"/>
      <c r="J11" s="39" t="n"/>
      <c r="K11" s="39" t="n"/>
      <c r="L11" s="39" t="n"/>
      <c r="M11" s="39" t="n"/>
      <c r="N11" s="39" t="n"/>
    </row>
    <row r="12">
      <c r="A12" s="39" t="n"/>
      <c r="B12" s="43" t="inlineStr">
        <is>
          <t>Tích hợp Top-down</t>
        </is>
      </c>
      <c r="C12" s="43" t="inlineStr">
        <is>
          <t>Kiểm thử từ giao diện tương tác người dùng xuống tầng quản lý trạng thái</t>
        </is>
      </c>
      <c r="D12" s="44" t="inlineStr">
        <is>
          <t>Kiểm tra xem khi người dùng tương tác trên Modal (bấm nút Thuê, Nạp tiền, Gia hạn, Khiếu nại), UI Component có truyền đúng payload tham số vào AppContext hay không.</t>
        </is>
      </c>
      <c r="E12" s="39" t="n"/>
      <c r="F12" s="39" t="n"/>
      <c r="G12" s="39" t="n"/>
      <c r="H12" s="39" t="n"/>
      <c r="I12" s="39" t="n"/>
      <c r="J12" s="39" t="n"/>
      <c r="K12" s="39" t="n"/>
      <c r="L12" s="39" t="n"/>
      <c r="M12" s="39" t="n"/>
      <c r="N12" s="39" t="n"/>
    </row>
    <row r="13">
      <c r="A13" s="39" t="n"/>
      <c r="B13" s="43" t="inlineStr">
        <is>
          <t>Tích hợp Bottom-up</t>
        </is>
      </c>
      <c r="C13" s="43" t="inlineStr">
        <is>
          <t>Kiểm thử từ tầng CSDL và các hàm tiện ích ngược lên AppContext</t>
        </is>
      </c>
      <c r="D13" s="44" t="inlineStr">
        <is>
          <t>Kiểm tra xem các hàm tiện ích lõi (validateRegistration, calculateRentalCost, calculateRefundAndExtension, generateSecurePassword) khi xử lý xong có cập nhật chuẩn xác vào LocalStorage hay không.</t>
        </is>
      </c>
      <c r="E13" s="39" t="n"/>
      <c r="F13" s="39" t="n"/>
      <c r="G13" s="39" t="n"/>
      <c r="H13" s="39" t="n"/>
      <c r="I13" s="39" t="n"/>
      <c r="J13" s="39" t="n"/>
      <c r="K13" s="39" t="n"/>
      <c r="L13" s="39" t="n"/>
      <c r="M13" s="39" t="n"/>
      <c r="N13" s="39" t="n"/>
    </row>
    <row r="14">
      <c r="A14" s="39" t="n"/>
      <c r="B14" s="43" t="inlineStr">
        <is>
          <t>Điểm hội tụ (Target Middle)</t>
        </is>
      </c>
      <c r="C14" s="43" t="inlineStr">
        <is>
          <t>Bộ quản trị trạng thái AppContext làm trung gian kết nối</t>
        </is>
      </c>
      <c r="D14" s="44" t="inlineStr">
        <is>
          <t>Đảm bảo tính toàn vẹn dữ liệu: khi LocalStorage thay đổi, AppContext lập tức broadcast dữ liệu mới đến tất cả các Component đang hiển thị mà không cần reload trang.</t>
        </is>
      </c>
      <c r="E14" s="39" t="n"/>
      <c r="F14" s="39" t="n"/>
      <c r="G14" s="39" t="n"/>
      <c r="H14" s="39" t="n"/>
      <c r="I14" s="39" t="n"/>
      <c r="J14" s="39" t="n"/>
      <c r="K14" s="39" t="n"/>
      <c r="L14" s="39" t="n"/>
      <c r="M14" s="39" t="n"/>
      <c r="N14" s="39" t="n"/>
    </row>
    <row r="15">
      <c r="A15" s="39" t="n"/>
      <c r="B15" s="39" t="n"/>
      <c r="C15" s="39" t="n"/>
      <c r="D15" s="39" t="n"/>
      <c r="E15" s="39" t="n"/>
      <c r="F15" s="39" t="n"/>
      <c r="G15" s="39" t="n"/>
      <c r="H15" s="39" t="n"/>
      <c r="I15" s="39" t="n"/>
      <c r="J15" s="39" t="n"/>
      <c r="K15" s="39" t="n"/>
      <c r="L15" s="39" t="n"/>
      <c r="M15" s="39" t="n"/>
      <c r="N15" s="39" t="n"/>
    </row>
    <row r="16">
      <c r="A16" s="39" t="n"/>
      <c r="B16" s="41" t="inlineStr">
        <is>
          <t>3. MA TRẬN 6 PHÂN HỆ TÍCH HỢP CỐT LÕI (10 CA KIỂM THỬ ITC)</t>
        </is>
      </c>
      <c r="C16" s="39" t="n"/>
      <c r="D16" s="39" t="n"/>
      <c r="E16" s="39" t="n"/>
      <c r="F16" s="39" t="n"/>
      <c r="G16" s="39" t="n"/>
      <c r="H16" s="39" t="n"/>
      <c r="I16" s="39" t="n"/>
      <c r="J16" s="39" t="n"/>
      <c r="K16" s="39" t="n"/>
      <c r="L16" s="39" t="n"/>
      <c r="M16" s="39" t="n"/>
      <c r="N16" s="39" t="n"/>
    </row>
    <row r="17">
      <c r="A17" s="39" t="n"/>
      <c r="B17" s="42" t="inlineStr">
        <is>
          <t>Mã phân hệ</t>
        </is>
      </c>
      <c r="C17" s="42" t="inlineStr">
        <is>
          <t>Tương tác thành phần</t>
        </is>
      </c>
      <c r="D17" s="42" t="inlineStr">
        <is>
          <t>Ca kiểm thử bao phủ</t>
        </is>
      </c>
      <c r="E17" s="39" t="n"/>
      <c r="F17" s="39" t="n"/>
      <c r="G17" s="39" t="n"/>
      <c r="H17" s="39" t="n"/>
      <c r="I17" s="39" t="n"/>
      <c r="J17" s="39" t="n"/>
      <c r="K17" s="39" t="n"/>
      <c r="L17" s="39" t="n"/>
      <c r="M17" s="39" t="n"/>
      <c r="N17" s="39" t="n"/>
    </row>
    <row r="18">
      <c r="A18" s="39" t="n"/>
      <c r="B18" s="43" t="inlineStr">
        <is>
          <t>IT_AUTH_SYNC</t>
        </is>
      </c>
      <c r="C18" s="45" t="inlineStr">
        <is>
          <t>F_AUTH ↔ AppContext ↔ LocalStorage
(ITC-01, ITC-08, ITC-10)</t>
        </is>
      </c>
      <c r="D18" s="44" t="inlineStr">
        <is>
          <t>Tích hợp luồng Xác thực, Khởi tạo ví 50k, Tự động đồng bộ CRM khách hàng Admin và Đổi mật khẩu cập nhật LocalStorage.</t>
        </is>
      </c>
      <c r="E18" s="39" t="n"/>
      <c r="F18" s="39" t="n"/>
      <c r="G18" s="39" t="n"/>
      <c r="H18" s="39" t="n"/>
      <c r="I18" s="39" t="n"/>
      <c r="J18" s="39" t="n"/>
      <c r="K18" s="39" t="n"/>
      <c r="L18" s="39" t="n"/>
      <c r="M18" s="39" t="n"/>
      <c r="N18" s="39" t="n"/>
    </row>
    <row r="19">
      <c r="A19" s="39" t="n"/>
      <c r="B19" s="43" t="inlineStr">
        <is>
          <t>IT_WALLET_FLOW</t>
        </is>
      </c>
      <c r="C19" s="45" t="inlineStr">
        <is>
          <t>F_WAL ↔ WalletPage ↔ AppContext
(ITC-02)</t>
        </is>
      </c>
      <c r="D19" s="44" t="inlineStr">
        <is>
          <t>Tích hợp cổng nạp tiền VietQR tự động, cộng số dư ví thời gian thực và ghi nhận Transaction History.</t>
        </is>
      </c>
      <c r="E19" s="39" t="n"/>
      <c r="F19" s="39" t="n"/>
      <c r="G19" s="39" t="n"/>
      <c r="H19" s="39" t="n"/>
      <c r="I19" s="39" t="n"/>
      <c r="J19" s="39" t="n"/>
      <c r="K19" s="39" t="n"/>
      <c r="L19" s="39" t="n"/>
      <c r="M19" s="39" t="n"/>
      <c r="N19" s="39" t="n"/>
    </row>
    <row r="20">
      <c r="A20" s="39" t="n"/>
      <c r="B20" s="43" t="inlineStr">
        <is>
          <t>IT_RENT_DELIVER</t>
        </is>
      </c>
      <c r="C20" s="45" t="inlineStr">
        <is>
          <t>F_RENT ↔ AccountCard ↔ AppContext
(ITC-03)</t>
        </is>
      </c>
      <c r="D20" s="44" t="inlineStr">
        <is>
          <t>Tích hợp luồng thuê tài khoản game tức thì: trừ số dư ví, đổi trạng thái acc sang 'rented' và bàn giao mật khẩu bí mật 1-click.</t>
        </is>
      </c>
      <c r="E20" s="39" t="n"/>
      <c r="F20" s="39" t="n"/>
      <c r="G20" s="39" t="n"/>
      <c r="H20" s="39" t="n"/>
      <c r="I20" s="39" t="n"/>
      <c r="J20" s="39" t="n"/>
      <c r="K20" s="39" t="n"/>
      <c r="L20" s="39" t="n"/>
      <c r="M20" s="39" t="n"/>
      <c r="N20" s="39" t="n"/>
    </row>
    <row r="21">
      <c r="A21" s="39" t="n"/>
      <c r="B21" s="43" t="inlineStr">
        <is>
          <t>IT_TIMER_EXT</t>
        </is>
      </c>
      <c r="C21" s="45" t="inlineStr">
        <is>
          <t>F_TIMER ↔ CountdownTimer ↔ AppContext
(ITC-04, ITC-07)</t>
        </is>
      </c>
      <c r="D21" s="44" t="inlineStr">
        <is>
          <t>Tích hợp gia hạn nối tiếp giờ chơi trên CountdownTimer và cơ chế thu hồi tự động đổi mật khẩu ngẫu nhiên khi hết hạn.</t>
        </is>
      </c>
      <c r="E21" s="39" t="n"/>
      <c r="F21" s="39" t="n"/>
      <c r="G21" s="39" t="n"/>
      <c r="H21" s="39" t="n"/>
      <c r="I21" s="39" t="n"/>
      <c r="J21" s="39" t="n"/>
      <c r="K21" s="39" t="n"/>
      <c r="L21" s="39" t="n"/>
      <c r="M21" s="39" t="n"/>
      <c r="N21" s="39" t="n"/>
    </row>
    <row r="22">
      <c r="A22" s="39" t="n"/>
      <c r="B22" s="43" t="inlineStr">
        <is>
          <t>IT_REFUND_DISPUTE</t>
        </is>
      </c>
      <c r="C22" s="45" t="inlineStr">
        <is>
          <t>F_REF_EXT ↔ Dispute &amp; Return ↔ AppContext
(ITC-05, ITC-06)</t>
        </is>
      </c>
      <c r="D22" s="44" t="inlineStr">
        <is>
          <t>Tích hợp chính sách hoàn tiền: Khách báo lỗi in-game được bồi thường bảo hiểm 100% và Trả nick sớm nhận hoàn 50% tiền giờ thừa.</t>
        </is>
      </c>
      <c r="E22" s="39" t="n"/>
      <c r="F22" s="39" t="n"/>
      <c r="G22" s="39" t="n"/>
      <c r="H22" s="39" t="n"/>
      <c r="I22" s="39" t="n"/>
      <c r="J22" s="39" t="n"/>
      <c r="K22" s="39" t="n"/>
      <c r="L22" s="39" t="n"/>
      <c r="M22" s="39" t="n"/>
      <c r="N22" s="39" t="n"/>
    </row>
    <row r="23">
      <c r="A23" s="39" t="n"/>
      <c r="B23" s="43" t="inlineStr">
        <is>
          <t>IT_FAV_SEP</t>
        </is>
      </c>
      <c r="C23" s="45" t="inlineStr">
        <is>
          <t>F_FAV ↔ LocalStorage Separation
(ITC-09)</t>
        </is>
      </c>
      <c r="D23" s="44" t="inlineStr">
        <is>
          <t>Tích hợp cơ chế phân tách danh sách tài khoản yêu thích (Favorites) độc lập tuyệt đối giữa các người dùng.</t>
        </is>
      </c>
      <c r="E23" s="39" t="n"/>
      <c r="F23" s="39" t="n"/>
      <c r="G23" s="39" t="n"/>
      <c r="H23" s="39" t="n"/>
      <c r="I23" s="39" t="n"/>
      <c r="J23" s="39" t="n"/>
      <c r="K23" s="39" t="n"/>
      <c r="L23" s="39" t="n"/>
      <c r="M23" s="39" t="n"/>
      <c r="N23" s="39" t="n"/>
    </row>
    <row r="24">
      <c r="A24" s="39" t="n"/>
      <c r="B24" s="39" t="n"/>
      <c r="C24" s="39" t="n"/>
      <c r="D24" s="39" t="n"/>
      <c r="E24" s="39" t="n"/>
      <c r="F24" s="39" t="n"/>
      <c r="G24" s="39" t="n"/>
      <c r="H24" s="39" t="n"/>
      <c r="I24" s="39" t="n"/>
      <c r="J24" s="39" t="n"/>
      <c r="K24" s="39" t="n"/>
      <c r="L24" s="39" t="n"/>
      <c r="M24" s="39" t="n"/>
      <c r="N24" s="39" t="n"/>
    </row>
    <row r="25">
      <c r="A25" s="39" t="n"/>
      <c r="B25" s="39" t="n"/>
      <c r="C25" s="39" t="n"/>
      <c r="D25" s="39" t="n"/>
      <c r="E25" s="39" t="n"/>
      <c r="F25" s="39" t="n"/>
      <c r="G25" s="39" t="n"/>
      <c r="H25" s="39" t="n"/>
      <c r="I25" s="39" t="n"/>
      <c r="J25" s="39" t="n"/>
      <c r="K25" s="39" t="n"/>
      <c r="L25" s="39" t="n"/>
      <c r="M25" s="39" t="n"/>
      <c r="N25" s="39" t="n"/>
    </row>
    <row r="26">
      <c r="A26" s="39" t="n"/>
      <c r="B26" s="39" t="n"/>
      <c r="C26" s="39" t="n"/>
      <c r="D26" s="39" t="n"/>
      <c r="E26" s="39" t="n"/>
      <c r="F26" s="39" t="n"/>
      <c r="G26" s="39" t="n"/>
      <c r="H26" s="39" t="n"/>
      <c r="I26" s="39" t="n"/>
      <c r="J26" s="39" t="n"/>
      <c r="K26" s="39" t="n"/>
      <c r="L26" s="39" t="n"/>
      <c r="M26" s="39" t="n"/>
      <c r="N26" s="39" t="n"/>
    </row>
    <row r="27">
      <c r="A27" s="39" t="n"/>
      <c r="B27" s="39" t="n"/>
      <c r="C27" s="39" t="n"/>
      <c r="D27" s="39" t="n"/>
      <c r="E27" s="39" t="n"/>
      <c r="F27" s="39" t="n"/>
      <c r="G27" s="39" t="n"/>
      <c r="H27" s="39" t="n"/>
      <c r="I27" s="39" t="n"/>
      <c r="J27" s="39" t="n"/>
      <c r="K27" s="39" t="n"/>
      <c r="L27" s="39" t="n"/>
      <c r="M27" s="39" t="n"/>
      <c r="N27" s="39" t="n"/>
    </row>
    <row r="28">
      <c r="A28" s="39" t="n"/>
      <c r="B28" s="39" t="n"/>
      <c r="C28" s="39" t="n"/>
      <c r="D28" s="39" t="n"/>
      <c r="E28" s="39" t="n"/>
      <c r="F28" s="39" t="n"/>
      <c r="G28" s="39" t="n"/>
      <c r="H28" s="39" t="n"/>
      <c r="I28" s="39" t="n"/>
      <c r="J28" s="39" t="n"/>
      <c r="K28" s="39" t="n"/>
      <c r="L28" s="39" t="n"/>
      <c r="M28" s="39" t="n"/>
      <c r="N28" s="39" t="n"/>
    </row>
    <row r="29">
      <c r="A29" s="39" t="n"/>
      <c r="B29" s="39" t="n"/>
      <c r="C29" s="39" t="n"/>
      <c r="D29" s="39" t="n"/>
      <c r="E29" s="39" t="n"/>
      <c r="F29" s="39" t="n"/>
      <c r="G29" s="39" t="n"/>
      <c r="H29" s="39" t="n"/>
      <c r="I29" s="39" t="n"/>
      <c r="J29" s="39" t="n"/>
      <c r="K29" s="39" t="n"/>
      <c r="L29" s="39" t="n"/>
      <c r="M29" s="39" t="n"/>
      <c r="N29" s="39" t="n"/>
    </row>
    <row r="30">
      <c r="A30" s="39" t="n"/>
      <c r="B30" s="39" t="n"/>
      <c r="C30" s="39" t="n"/>
      <c r="D30" s="39" t="n"/>
      <c r="E30" s="39" t="n"/>
      <c r="F30" s="39" t="n"/>
      <c r="G30" s="39" t="n"/>
      <c r="H30" s="39" t="n"/>
      <c r="I30" s="39" t="n"/>
      <c r="J30" s="39" t="n"/>
      <c r="K30" s="39" t="n"/>
      <c r="L30" s="39" t="n"/>
      <c r="M30" s="39" t="n"/>
      <c r="N30" s="39" t="n"/>
    </row>
    <row r="31">
      <c r="A31" s="39" t="n"/>
      <c r="B31" s="39" t="n"/>
      <c r="C31" s="39" t="n"/>
      <c r="D31" s="39" t="n"/>
      <c r="E31" s="39" t="n"/>
      <c r="F31" s="39" t="n"/>
      <c r="G31" s="39" t="n"/>
      <c r="H31" s="39" t="n"/>
      <c r="I31" s="39" t="n"/>
      <c r="J31" s="39" t="n"/>
      <c r="K31" s="39" t="n"/>
      <c r="L31" s="39" t="n"/>
      <c r="M31" s="39" t="n"/>
      <c r="N31" s="39" t="n"/>
    </row>
    <row r="32">
      <c r="A32" s="39" t="n"/>
      <c r="B32" s="39" t="n"/>
      <c r="C32" s="39" t="n"/>
      <c r="D32" s="39" t="n"/>
      <c r="E32" s="39" t="n"/>
      <c r="F32" s="39" t="n"/>
      <c r="G32" s="39" t="n"/>
      <c r="H32" s="39" t="n"/>
      <c r="I32" s="39" t="n"/>
      <c r="J32" s="39" t="n"/>
      <c r="K32" s="39" t="n"/>
      <c r="L32" s="39" t="n"/>
      <c r="M32" s="39" t="n"/>
      <c r="N32" s="39" t="n"/>
    </row>
    <row r="33">
      <c r="A33" s="39" t="n"/>
      <c r="B33" s="39" t="n"/>
      <c r="C33" s="39" t="n"/>
      <c r="D33" s="39" t="n"/>
      <c r="E33" s="39" t="n"/>
      <c r="F33" s="39" t="n"/>
      <c r="G33" s="39" t="n"/>
      <c r="H33" s="39" t="n"/>
      <c r="I33" s="39" t="n"/>
      <c r="J33" s="39" t="n"/>
      <c r="K33" s="39" t="n"/>
      <c r="L33" s="39" t="n"/>
      <c r="M33" s="39" t="n"/>
      <c r="N33" s="39" t="n"/>
    </row>
    <row r="34">
      <c r="A34" s="39" t="n"/>
      <c r="B34" s="39" t="n"/>
      <c r="C34" s="39" t="n"/>
      <c r="D34" s="39" t="n"/>
      <c r="E34" s="39" t="n"/>
      <c r="F34" s="39" t="n"/>
      <c r="G34" s="39" t="n"/>
      <c r="H34" s="39" t="n"/>
      <c r="I34" s="39" t="n"/>
      <c r="J34" s="39" t="n"/>
      <c r="K34" s="39" t="n"/>
      <c r="L34" s="39" t="n"/>
      <c r="M34" s="39" t="n"/>
      <c r="N34" s="39" t="n"/>
    </row>
    <row r="35">
      <c r="A35" s="39" t="n"/>
      <c r="B35" s="39" t="n"/>
      <c r="C35" s="39" t="n"/>
      <c r="D35" s="39" t="n"/>
      <c r="E35" s="39" t="n"/>
      <c r="F35" s="39" t="n"/>
      <c r="G35" s="39" t="n"/>
      <c r="H35" s="39" t="n"/>
      <c r="I35" s="39" t="n"/>
      <c r="J35" s="39" t="n"/>
      <c r="K35" s="39" t="n"/>
      <c r="L35" s="39" t="n"/>
      <c r="M35" s="39" t="n"/>
      <c r="N35" s="39" t="n"/>
    </row>
    <row r="36">
      <c r="A36" s="39" t="n"/>
      <c r="B36" s="39" t="n"/>
      <c r="C36" s="39" t="n"/>
      <c r="D36" s="39" t="n"/>
      <c r="E36" s="39" t="n"/>
      <c r="F36" s="39" t="n"/>
      <c r="G36" s="39" t="n"/>
      <c r="H36" s="39" t="n"/>
      <c r="I36" s="39" t="n"/>
      <c r="J36" s="39" t="n"/>
      <c r="K36" s="39" t="n"/>
      <c r="L36" s="39" t="n"/>
      <c r="M36" s="39" t="n"/>
      <c r="N36" s="39" t="n"/>
    </row>
    <row r="37">
      <c r="A37" s="39" t="n"/>
      <c r="B37" s="39" t="n"/>
      <c r="C37" s="39" t="n"/>
      <c r="D37" s="39" t="n"/>
      <c r="E37" s="39" t="n"/>
      <c r="F37" s="39" t="n"/>
      <c r="G37" s="39" t="n"/>
      <c r="H37" s="39" t="n"/>
      <c r="I37" s="39" t="n"/>
      <c r="J37" s="39" t="n"/>
      <c r="K37" s="39" t="n"/>
      <c r="L37" s="39" t="n"/>
      <c r="M37" s="39" t="n"/>
      <c r="N37" s="39" t="n"/>
    </row>
    <row r="38">
      <c r="A38" s="39" t="n"/>
      <c r="B38" s="39" t="n"/>
      <c r="C38" s="39" t="n"/>
      <c r="D38" s="39" t="n"/>
      <c r="E38" s="39" t="n"/>
      <c r="F38" s="39" t="n"/>
      <c r="G38" s="39" t="n"/>
      <c r="H38" s="39" t="n"/>
      <c r="I38" s="39" t="n"/>
      <c r="J38" s="39" t="n"/>
      <c r="K38" s="39" t="n"/>
      <c r="L38" s="39" t="n"/>
      <c r="M38" s="39" t="n"/>
      <c r="N38" s="39" t="n"/>
    </row>
    <row r="39">
      <c r="A39" s="39" t="n"/>
      <c r="B39" s="39" t="n"/>
      <c r="C39" s="39" t="n"/>
      <c r="D39" s="39" t="n"/>
      <c r="E39" s="39" t="n"/>
      <c r="F39" s="39" t="n"/>
      <c r="G39" s="39" t="n"/>
      <c r="H39" s="39" t="n"/>
      <c r="I39" s="39" t="n"/>
      <c r="J39" s="39" t="n"/>
      <c r="K39" s="39" t="n"/>
      <c r="L39" s="39" t="n"/>
      <c r="M39" s="39" t="n"/>
      <c r="N39" s="3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
  <sheetViews>
    <sheetView showGridLines="1" workbookViewId="0">
      <selection activeCell="A1" sqref="A1"/>
    </sheetView>
  </sheetViews>
  <sheetFormatPr baseColWidth="8" defaultRowHeight="15"/>
  <cols>
    <col width="12" customWidth="1" min="1" max="1"/>
    <col width="32" customWidth="1" min="2" max="2"/>
    <col width="28" customWidth="1" min="3" max="3"/>
    <col width="48" customWidth="1" min="4" max="4"/>
    <col width="48" customWidth="1" min="5" max="5"/>
    <col width="32" customWidth="1" min="6" max="6"/>
    <col width="12" customWidth="1" min="7" max="7"/>
    <col width="14" customWidth="1" min="8" max="8"/>
    <col width="26" customWidth="1" min="9" max="9"/>
  </cols>
  <sheetData>
    <row r="1">
      <c r="A1" s="39" t="n"/>
      <c r="B1" s="39" t="n"/>
      <c r="C1" s="39" t="n"/>
      <c r="D1" s="39" t="n"/>
      <c r="E1" s="39" t="n"/>
      <c r="F1" s="39" t="n"/>
      <c r="G1" s="39" t="n"/>
      <c r="H1" s="39" t="n"/>
      <c r="I1" s="39" t="n"/>
      <c r="J1" s="39" t="n"/>
      <c r="K1" s="39" t="n"/>
      <c r="L1" s="39" t="n"/>
      <c r="M1" s="39" t="n"/>
      <c r="N1" s="39" t="n"/>
    </row>
    <row r="2" ht="28" customHeight="1">
      <c r="A2" s="121" t="inlineStr">
        <is>
          <t>Module Code</t>
        </is>
      </c>
      <c r="B2" s="91" t="inlineStr">
        <is>
          <t>IT_AUTH_SYNC</t>
        </is>
      </c>
      <c r="G2" s="39" t="n"/>
      <c r="H2" s="39" t="n"/>
      <c r="I2" s="39" t="n"/>
      <c r="J2" s="39" t="n"/>
      <c r="K2" s="39" t="n"/>
      <c r="L2" s="39" t="n"/>
      <c r="M2" s="39" t="n"/>
      <c r="N2" s="39" t="n"/>
    </row>
    <row r="3" ht="23" customHeight="1">
      <c r="A3" s="90" t="inlineStr">
        <is>
          <t>Test requirement</t>
        </is>
      </c>
      <c r="B3" s="91" t="inlineStr">
        <is>
          <t>Kiểm thử tích hợp giữa UI Authentication Modal, State Management AppContext và CSDL LocalStorage (Đăng ký mới, Đồng bộ CRM, Đổi mật khẩu).</t>
        </is>
      </c>
      <c r="G3" s="39" t="n"/>
      <c r="H3" s="39" t="n"/>
      <c r="I3" s="39" t="n"/>
      <c r="J3" s="39" t="n"/>
      <c r="K3" s="39" t="n"/>
      <c r="L3" s="39" t="n"/>
      <c r="M3" s="39" t="n"/>
      <c r="N3" s="39" t="n"/>
    </row>
    <row r="4" ht="23" customHeight="1">
      <c r="A4" s="122" t="inlineStr">
        <is>
          <t>Tester</t>
        </is>
      </c>
      <c r="B4" s="91" t="inlineStr">
        <is>
          <t>Nhóm 15 (Lê Xuân Đạt, Lê Minh Quân)</t>
        </is>
      </c>
      <c r="D4" s="123" t="n"/>
      <c r="E4" s="124" t="n"/>
      <c r="G4" s="39" t="n"/>
      <c r="H4" s="39" t="n"/>
      <c r="I4" s="39" t="n"/>
      <c r="J4" s="39" t="n"/>
      <c r="K4" s="39" t="n"/>
      <c r="L4" s="39" t="n"/>
      <c r="M4" s="39" t="n"/>
      <c r="N4" s="39" t="n"/>
    </row>
    <row r="5" ht="24" customHeight="1">
      <c r="A5" s="81" t="inlineStr">
        <is>
          <t>Pass</t>
        </is>
      </c>
      <c r="B5" s="81" t="inlineStr">
        <is>
          <t>Fail</t>
        </is>
      </c>
      <c r="C5" s="92" t="inlineStr">
        <is>
          <t>Untested</t>
        </is>
      </c>
      <c r="D5" s="92" t="inlineStr">
        <is>
          <t>N/A</t>
        </is>
      </c>
      <c r="E5" s="92" t="inlineStr">
        <is>
          <t>Number of Test cases</t>
        </is>
      </c>
      <c r="F5" s="125" t="n"/>
      <c r="G5" s="39" t="n"/>
      <c r="H5" s="39" t="n"/>
      <c r="I5" s="39" t="n"/>
      <c r="J5" s="39" t="n"/>
      <c r="K5" s="39" t="n"/>
      <c r="L5" s="39" t="n"/>
      <c r="M5" s="39" t="n"/>
      <c r="N5" s="39" t="n"/>
    </row>
    <row r="6" ht="24" customHeight="1">
      <c r="A6" s="114">
        <f>COUNTIF(G9:G100,"Pass")</f>
        <v/>
      </c>
      <c r="B6" s="126">
        <f>COUNTIF(G9:G100,"Fail")</f>
        <v/>
      </c>
      <c r="C6" s="94">
        <f>E6-D6-B6-A6</f>
        <v/>
      </c>
      <c r="D6" s="94">
        <f>COUNTIF(G9:G100,"N/A")</f>
        <v/>
      </c>
      <c r="E6" s="94">
        <f>COUNTA(A9:A100)</f>
        <v/>
      </c>
      <c r="F6" s="125" t="n"/>
      <c r="G6" s="39" t="n"/>
      <c r="H6" s="39" t="n"/>
      <c r="I6" s="39" t="n"/>
      <c r="J6" s="39" t="n"/>
      <c r="K6" s="39" t="n"/>
      <c r="L6" s="39" t="n"/>
      <c r="M6" s="39" t="n"/>
      <c r="N6" s="39" t="n"/>
    </row>
    <row r="7">
      <c r="A7" s="39" t="n"/>
      <c r="B7" s="39" t="n"/>
      <c r="C7" s="39" t="n"/>
      <c r="D7" s="39" t="n"/>
      <c r="E7" s="39" t="n"/>
      <c r="F7" s="39" t="n"/>
      <c r="G7" s="39" t="n"/>
      <c r="H7" s="39" t="n"/>
      <c r="I7" s="39" t="n"/>
      <c r="J7" s="39" t="n"/>
      <c r="K7" s="39" t="n"/>
      <c r="L7" s="39" t="n"/>
      <c r="M7" s="39" t="n"/>
      <c r="N7" s="39" t="n"/>
    </row>
    <row r="8" ht="28" customHeight="1">
      <c r="A8" s="81" t="inlineStr">
        <is>
          <t>ID</t>
        </is>
      </c>
      <c r="B8" s="81" t="inlineStr">
        <is>
          <t>Test Case Description</t>
        </is>
      </c>
      <c r="C8" s="81" t="inlineStr">
        <is>
          <t>Pre-condition</t>
        </is>
      </c>
      <c r="D8" s="81" t="inlineStr">
        <is>
          <t>Test Steps</t>
        </is>
      </c>
      <c r="E8" s="81" t="inlineStr">
        <is>
          <t>Expected Output</t>
        </is>
      </c>
      <c r="F8" s="81" t="inlineStr">
        <is>
          <t>Post-condtion</t>
        </is>
      </c>
      <c r="G8" s="81" t="inlineStr">
        <is>
          <t>Result</t>
        </is>
      </c>
      <c r="H8" s="95" t="inlineStr">
        <is>
          <t>Test date</t>
        </is>
      </c>
      <c r="I8" s="95" t="inlineStr">
        <is>
          <t>Note</t>
        </is>
      </c>
      <c r="J8" s="39" t="n"/>
      <c r="K8" s="39" t="n"/>
      <c r="L8" s="39" t="n"/>
      <c r="M8" s="39" t="n"/>
      <c r="N8" s="39" t="n"/>
    </row>
    <row r="9" ht="70" customHeight="1">
      <c r="A9" s="127" t="inlineStr">
        <is>
          <t>[ITC-01]</t>
        </is>
      </c>
      <c r="B9" s="128" t="inlineStr">
        <is>
          <t>Tích hợp Đăng ký mới -&gt; Tự động đăng nhập -&gt; Khởi tạo ví 50.000 VNĐ.
Kiểm tra tương tác AuthModal ↔ AppContext ↔ LocalStorage gamerent_users và gamerent_wallet_balance.</t>
        </is>
      </c>
      <c r="C9" s="128" t="inlineStr">
        <is>
          <t>Trình duyệt ở trạng thái Chưa đăng nhập, LocalStorage chưa có session người dùng.</t>
        </is>
      </c>
      <c r="D9" s="128" t="inlineStr">
        <is>
          <t>1. Nhập thông tin đăng ký hợp lệ: username = 'gamer_new', pass = 'pass123456', sdt = '0912345678'.
2. Nhấn nút 'Đăng ký ngay'.
3. Kiểm tra biến đổi trong LocalStorage và trạng thái toàn cục AppContext.</t>
        </is>
      </c>
      <c r="E9" s="128" t="inlineStr">
        <is>
          <t>1. Dữ liệu User mới được ghi nhận vào mảng gamerent_users trong LocalStorage.
2. Hệ thống tự động kích hoạt phiên đăng nhập: currentUser trong AppContext được cập nhật với role = 'renter'.
3. Số dư ví khởi tạo được gán chính xác 50.000 VNĐ, Header cập nhật tên và số dư ví.</t>
        </is>
      </c>
      <c r="F9" s="128" t="inlineStr">
        <is>
          <t>User có trạng thái Active trong LocalStorage; ví có 50.000 VNĐ; phiên làm việc mở.</t>
        </is>
      </c>
      <c r="G9" s="114" t="inlineStr">
        <is>
          <t>Pass</t>
        </is>
      </c>
      <c r="H9" s="99" t="inlineStr">
        <is>
          <t>26/09/2026</t>
        </is>
      </c>
      <c r="I9" s="97" t="inlineStr">
        <is>
          <t>Đã tự động hóa trong integrationFlows.test.js ([ITC-01]).</t>
        </is>
      </c>
      <c r="J9" s="39" t="n"/>
      <c r="K9" s="39" t="n"/>
      <c r="L9" s="39" t="n"/>
      <c r="M9" s="39" t="n"/>
      <c r="N9" s="39" t="n"/>
    </row>
    <row r="10" ht="70" customHeight="1">
      <c r="A10" s="129" t="inlineStr">
        <is>
          <t>[ITC-08]</t>
        </is>
      </c>
      <c r="B10" s="130" t="inlineStr">
        <is>
          <t>Tích hợp Đăng ký khách mới -&gt; Tự động đồng bộ CRM khách hàng Admin.
Kiểm tra tương tác AuthModal ↔ CustomersPage ↔ AppContext mà không cần reload trang.</t>
        </is>
      </c>
      <c r="C10" s="130" t="inlineStr">
        <is>
          <t>Admin đang mở trang Quản lý khách hàng CRM trên một tab; khách hàng vãng lai đăng ký tại trang chủ.</t>
        </is>
      </c>
      <c r="D10" s="130" t="inlineStr">
        <is>
          <t>1. Khách hàng thực hiện đăng ký tài khoản mới thành công tại AuthModal.
2. Chuyển sang phiên làm việc của Quản trị viên (Admin) tại CustomersPage.
3. Quan sát danh sách khách hàng CRM và số liệu tổng quan.</t>
        </is>
      </c>
      <c r="E10" s="130" t="inlineStr">
        <is>
          <t>1. Khách hàng mới lập tức xuất hiện trong bảng danh sách thành viên CRM với mã KHxxx.
2. Số dư hiển thị đúng 50.000 VNĐ, số đơn thuê khởi tạo = 0, trạng thái tài khoản = 'Hoạt động'.
3. Thẻ thống kê Tổng khách hàng trên Dashboard tự động tăng thêm 1 thành viên.</t>
        </is>
      </c>
      <c r="F10" s="130" t="inlineStr">
        <is>
          <t>Tính nhất quán dữ liệu giữa Client và Admin Dashboard đạt 100%.</t>
        </is>
      </c>
      <c r="G10" s="114" t="inlineStr">
        <is>
          <t>Pass</t>
        </is>
      </c>
      <c r="H10" s="102" t="inlineStr">
        <is>
          <t>26/09/2026</t>
        </is>
      </c>
      <c r="I10" s="101" t="inlineStr">
        <is>
          <t>Đã kiểm thử tự động trong crudManagement.test.js.</t>
        </is>
      </c>
      <c r="J10" s="39" t="n"/>
      <c r="K10" s="39" t="n"/>
      <c r="L10" s="39" t="n"/>
      <c r="M10" s="39" t="n"/>
      <c r="N10" s="39" t="n"/>
    </row>
    <row r="11" ht="106" customHeight="1">
      <c r="A11" s="127" t="inlineStr">
        <is>
          <t>[ITC-10]</t>
        </is>
      </c>
      <c r="B11" s="128" t="inlineStr">
        <is>
          <t>Tích hợp Đổi mật khẩu khách thuê -&gt; Cập nhật LocalStorage -&gt; Xác thực lại.
Kiểm tra tương tác SettingsPage ↔ AuthModal ↔ AppContext bảo mật thông tin đăng nhập.</t>
        </is>
      </c>
      <c r="C11" s="128" t="inlineStr">
        <is>
          <t>Khách hàng đang đăng nhập với mật khẩu hiện tại '123456'.</t>
        </is>
      </c>
      <c r="D11" s="128" t="inlineStr">
        <is>
          <t>1. Vào trang Cài đặt (SettingsPage) -&gt; Tab Đổi mật khẩu.
2. Nhập Mật khẩu cũ: '123456', Mật khẩu mới: 'newpass123', Nhập lại: 'newpass123'.
3. Bấm 'Lưu thay đổi'.
4. Đăng xuất khỏi hệ thống và thực hiện đăng nhập lại bằng mật khẩu cũ '123456'.
5. Thực hiện đăng nhập lại bằng mật khẩu mới 'newpass123'.</t>
        </is>
      </c>
      <c r="E11" s="128" t="inlineStr">
        <is>
          <t>1. Đổi mật khẩu thành công, LocalStorage cập nhật hash mật khẩu mới của user.
2. Đăng nhập bằng pass cũ '123456' bị hệ thống từ chối với thông báo: 'Sai tên đăng nhập hoặc mật khẩu'.
3. Đăng nhập bằng pass mới 'newpass123' thành công, khôi phục đầy đủ phiên làm việc.</t>
        </is>
      </c>
      <c r="F11" s="128" t="inlineStr">
        <is>
          <t>Mật khẩu mới có hiệu lực vĩnh viễn, mật khẩu cũ bị vô hiệu hóa hoàn toàn.</t>
        </is>
      </c>
      <c r="G11" s="114" t="inlineStr">
        <is>
          <t>Pass</t>
        </is>
      </c>
      <c r="H11" s="99" t="inlineStr">
        <is>
          <t>26/09/2026</t>
        </is>
      </c>
      <c r="I11" s="97" t="inlineStr">
        <is>
          <t>Đã kiểm thử tự động trong changePassword.test.js (8/8 Passed).</t>
        </is>
      </c>
      <c r="J11" s="39" t="n"/>
      <c r="K11" s="39" t="n"/>
      <c r="L11" s="39" t="n"/>
      <c r="M11" s="39" t="n"/>
      <c r="N11" s="39" t="n"/>
    </row>
    <row r="12">
      <c r="A12" s="39" t="n"/>
      <c r="B12" s="39" t="n"/>
      <c r="C12" s="39" t="n"/>
      <c r="D12" s="39" t="n"/>
      <c r="E12" s="39" t="n"/>
      <c r="F12" s="39" t="n"/>
      <c r="G12" s="39" t="n"/>
      <c r="H12" s="39" t="n"/>
      <c r="I12" s="39" t="n"/>
      <c r="J12" s="39" t="n"/>
      <c r="K12" s="39" t="n"/>
      <c r="L12" s="39" t="n"/>
      <c r="M12" s="39" t="n"/>
      <c r="N12" s="39" t="n"/>
    </row>
    <row r="13">
      <c r="A13" s="39" t="n"/>
      <c r="B13" s="39" t="n"/>
      <c r="C13" s="39" t="n"/>
      <c r="D13" s="39" t="n"/>
      <c r="E13" s="39" t="n"/>
      <c r="F13" s="39" t="n"/>
      <c r="G13" s="39" t="n"/>
      <c r="H13" s="39" t="n"/>
      <c r="I13" s="39" t="n"/>
      <c r="J13" s="39" t="n"/>
      <c r="K13" s="39" t="n"/>
      <c r="L13" s="39" t="n"/>
      <c r="M13" s="39" t="n"/>
      <c r="N13" s="39" t="n"/>
    </row>
    <row r="14">
      <c r="A14" s="39" t="n"/>
      <c r="B14" s="39" t="n"/>
      <c r="C14" s="39" t="n"/>
      <c r="D14" s="39" t="n"/>
      <c r="E14" s="39" t="n"/>
      <c r="F14" s="39" t="n"/>
      <c r="G14" s="39" t="n"/>
      <c r="H14" s="39" t="n"/>
      <c r="I14" s="39" t="n"/>
      <c r="J14" s="39" t="n"/>
      <c r="K14" s="39" t="n"/>
      <c r="L14" s="39" t="n"/>
      <c r="M14" s="39" t="n"/>
      <c r="N14" s="39" t="n"/>
    </row>
    <row r="15">
      <c r="A15" s="39" t="n"/>
      <c r="B15" s="39" t="n"/>
      <c r="C15" s="39" t="n"/>
      <c r="D15" s="39" t="n"/>
      <c r="E15" s="39" t="n"/>
      <c r="F15" s="39" t="n"/>
      <c r="G15" s="39" t="n"/>
      <c r="H15" s="39" t="n"/>
      <c r="I15" s="39" t="n"/>
      <c r="J15" s="39" t="n"/>
      <c r="K15" s="39" t="n"/>
      <c r="L15" s="39" t="n"/>
      <c r="M15" s="39" t="n"/>
      <c r="N15" s="39" t="n"/>
    </row>
    <row r="16">
      <c r="A16" s="39" t="n"/>
      <c r="B16" s="39" t="n"/>
      <c r="C16" s="39" t="n"/>
      <c r="D16" s="39" t="n"/>
      <c r="E16" s="39" t="n"/>
      <c r="F16" s="39" t="n"/>
      <c r="G16" s="39" t="n"/>
      <c r="H16" s="39" t="n"/>
      <c r="I16" s="39" t="n"/>
      <c r="J16" s="39" t="n"/>
      <c r="K16" s="39" t="n"/>
      <c r="L16" s="39" t="n"/>
      <c r="M16" s="39" t="n"/>
      <c r="N16" s="39" t="n"/>
    </row>
    <row r="17">
      <c r="A17" s="39" t="n"/>
      <c r="B17" s="39" t="n"/>
      <c r="C17" s="39" t="n"/>
      <c r="D17" s="39" t="n"/>
      <c r="E17" s="39" t="n"/>
      <c r="F17" s="39" t="n"/>
      <c r="G17" s="39" t="n"/>
      <c r="H17" s="39" t="n"/>
      <c r="I17" s="39" t="n"/>
      <c r="J17" s="39" t="n"/>
      <c r="K17" s="39" t="n"/>
      <c r="L17" s="39" t="n"/>
      <c r="M17" s="39" t="n"/>
      <c r="N17" s="39" t="n"/>
    </row>
    <row r="18">
      <c r="A18" s="39" t="n"/>
      <c r="B18" s="39" t="n"/>
      <c r="C18" s="39" t="n"/>
      <c r="D18" s="39" t="n"/>
      <c r="E18" s="39" t="n"/>
      <c r="F18" s="39" t="n"/>
      <c r="G18" s="39" t="n"/>
      <c r="H18" s="39" t="n"/>
      <c r="I18" s="39" t="n"/>
      <c r="J18" s="39" t="n"/>
      <c r="K18" s="39" t="n"/>
      <c r="L18" s="39" t="n"/>
      <c r="M18" s="39" t="n"/>
      <c r="N18" s="39" t="n"/>
    </row>
    <row r="19">
      <c r="A19" s="39" t="n"/>
      <c r="B19" s="39" t="n"/>
      <c r="C19" s="39" t="n"/>
      <c r="D19" s="39" t="n"/>
      <c r="E19" s="39" t="n"/>
      <c r="F19" s="39" t="n"/>
      <c r="G19" s="39" t="n"/>
      <c r="H19" s="39" t="n"/>
      <c r="I19" s="39" t="n"/>
      <c r="J19" s="39" t="n"/>
      <c r="K19" s="39" t="n"/>
      <c r="L19" s="39" t="n"/>
      <c r="M19" s="39" t="n"/>
      <c r="N19" s="39" t="n"/>
    </row>
    <row r="20">
      <c r="A20" s="39" t="n"/>
      <c r="B20" s="39" t="n"/>
      <c r="C20" s="39" t="n"/>
      <c r="D20" s="39" t="n"/>
      <c r="E20" s="39" t="n"/>
      <c r="F20" s="39" t="n"/>
      <c r="G20" s="39" t="n"/>
      <c r="H20" s="39" t="n"/>
      <c r="I20" s="39" t="n"/>
      <c r="J20" s="39" t="n"/>
      <c r="K20" s="39" t="n"/>
      <c r="L20" s="39" t="n"/>
      <c r="M20" s="39" t="n"/>
      <c r="N20" s="39" t="n"/>
    </row>
    <row r="21">
      <c r="A21" s="39" t="n"/>
      <c r="B21" s="39" t="n"/>
      <c r="C21" s="39" t="n"/>
      <c r="D21" s="39" t="n"/>
      <c r="E21" s="39" t="n"/>
      <c r="F21" s="39" t="n"/>
      <c r="G21" s="39" t="n"/>
      <c r="H21" s="39" t="n"/>
      <c r="I21" s="39" t="n"/>
      <c r="J21" s="39" t="n"/>
      <c r="K21" s="39" t="n"/>
      <c r="L21" s="39" t="n"/>
      <c r="M21" s="39" t="n"/>
      <c r="N21" s="39" t="n"/>
    </row>
    <row r="22">
      <c r="A22" s="39" t="n"/>
      <c r="B22" s="39" t="n"/>
      <c r="C22" s="39" t="n"/>
      <c r="D22" s="39" t="n"/>
      <c r="E22" s="39" t="n"/>
      <c r="F22" s="39" t="n"/>
      <c r="G22" s="39" t="n"/>
      <c r="H22" s="39" t="n"/>
      <c r="I22" s="39" t="n"/>
      <c r="J22" s="39" t="n"/>
      <c r="K22" s="39" t="n"/>
      <c r="L22" s="39" t="n"/>
      <c r="M22" s="39" t="n"/>
      <c r="N22" s="39" t="n"/>
    </row>
    <row r="23">
      <c r="A23" s="39" t="n"/>
      <c r="B23" s="39" t="n"/>
      <c r="C23" s="39" t="n"/>
      <c r="D23" s="39" t="n"/>
      <c r="E23" s="39" t="n"/>
      <c r="F23" s="39" t="n"/>
      <c r="G23" s="39" t="n"/>
      <c r="H23" s="39" t="n"/>
      <c r="I23" s="39" t="n"/>
      <c r="J23" s="39" t="n"/>
      <c r="K23" s="39" t="n"/>
      <c r="L23" s="39" t="n"/>
      <c r="M23" s="39" t="n"/>
      <c r="N23" s="39" t="n"/>
    </row>
    <row r="24">
      <c r="A24" s="39" t="n"/>
      <c r="B24" s="39" t="n"/>
      <c r="C24" s="39" t="n"/>
      <c r="D24" s="39" t="n"/>
      <c r="E24" s="39" t="n"/>
      <c r="F24" s="39" t="n"/>
      <c r="G24" s="39" t="n"/>
      <c r="H24" s="39" t="n"/>
      <c r="I24" s="39" t="n"/>
      <c r="J24" s="39" t="n"/>
      <c r="K24" s="39" t="n"/>
      <c r="L24" s="39" t="n"/>
      <c r="M24" s="39" t="n"/>
      <c r="N24" s="39" t="n"/>
    </row>
    <row r="25">
      <c r="A25" s="39" t="n"/>
      <c r="B25" s="39" t="n"/>
      <c r="C25" s="39" t="n"/>
      <c r="D25" s="39" t="n"/>
      <c r="E25" s="39" t="n"/>
      <c r="F25" s="39" t="n"/>
      <c r="G25" s="39" t="n"/>
      <c r="H25" s="39" t="n"/>
      <c r="I25" s="39" t="n"/>
      <c r="J25" s="39" t="n"/>
      <c r="K25" s="39" t="n"/>
      <c r="L25" s="39" t="n"/>
      <c r="M25" s="39" t="n"/>
      <c r="N25" s="39" t="n"/>
    </row>
    <row r="26">
      <c r="A26" s="39" t="n"/>
      <c r="B26" s="39" t="n"/>
      <c r="C26" s="39" t="n"/>
      <c r="D26" s="39" t="n"/>
      <c r="E26" s="39" t="n"/>
      <c r="F26" s="39" t="n"/>
      <c r="G26" s="39" t="n"/>
      <c r="H26" s="39" t="n"/>
      <c r="I26" s="39" t="n"/>
      <c r="J26" s="39" t="n"/>
      <c r="K26" s="39" t="n"/>
      <c r="L26" s="39" t="n"/>
      <c r="M26" s="39" t="n"/>
      <c r="N26" s="39" t="n"/>
    </row>
    <row r="27">
      <c r="A27" s="39" t="n"/>
      <c r="B27" s="39" t="n"/>
      <c r="C27" s="39" t="n"/>
      <c r="D27" s="39" t="n"/>
      <c r="E27" s="39" t="n"/>
      <c r="F27" s="39" t="n"/>
      <c r="G27" s="39" t="n"/>
      <c r="H27" s="39" t="n"/>
      <c r="I27" s="39" t="n"/>
      <c r="J27" s="39" t="n"/>
      <c r="K27" s="39" t="n"/>
      <c r="L27" s="39" t="n"/>
      <c r="M27" s="39" t="n"/>
      <c r="N27" s="39" t="n"/>
    </row>
    <row r="28">
      <c r="A28" s="39" t="n"/>
      <c r="B28" s="39" t="n"/>
      <c r="C28" s="39" t="n"/>
      <c r="D28" s="39" t="n"/>
      <c r="E28" s="39" t="n"/>
      <c r="F28" s="39" t="n"/>
      <c r="G28" s="39" t="n"/>
      <c r="H28" s="39" t="n"/>
      <c r="I28" s="39" t="n"/>
      <c r="J28" s="39" t="n"/>
      <c r="K28" s="39" t="n"/>
      <c r="L28" s="39" t="n"/>
      <c r="M28" s="39" t="n"/>
      <c r="N28" s="39" t="n"/>
    </row>
    <row r="29">
      <c r="A29" s="39" t="n"/>
      <c r="B29" s="39" t="n"/>
      <c r="C29" s="39" t="n"/>
      <c r="D29" s="39" t="n"/>
      <c r="E29" s="39" t="n"/>
      <c r="F29" s="39" t="n"/>
      <c r="G29" s="39" t="n"/>
      <c r="H29" s="39" t="n"/>
      <c r="I29" s="39" t="n"/>
      <c r="J29" s="39" t="n"/>
      <c r="K29" s="39" t="n"/>
      <c r="L29" s="39" t="n"/>
      <c r="M29" s="39" t="n"/>
      <c r="N29" s="39" t="n"/>
    </row>
  </sheetData>
  <mergeCells count="5">
    <mergeCell ref="B4:F4"/>
    <mergeCell ref="E6:F6"/>
    <mergeCell ref="B2:F2"/>
    <mergeCell ref="B3:F3"/>
    <mergeCell ref="E5:F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9"/>
  <sheetViews>
    <sheetView showGridLines="1" workbookViewId="0">
      <selection activeCell="A1" sqref="A1"/>
    </sheetView>
  </sheetViews>
  <sheetFormatPr baseColWidth="8" defaultRowHeight="15"/>
  <cols>
    <col width="12" customWidth="1" min="1" max="1"/>
    <col width="32" customWidth="1" min="2" max="2"/>
    <col width="28" customWidth="1" min="3" max="3"/>
    <col width="48" customWidth="1" min="4" max="4"/>
    <col width="48" customWidth="1" min="5" max="5"/>
    <col width="32" customWidth="1" min="6" max="6"/>
    <col width="12" customWidth="1" min="7" max="7"/>
    <col width="14" customWidth="1" min="8" max="8"/>
    <col width="26" customWidth="1" min="9" max="9"/>
  </cols>
  <sheetData>
    <row r="1">
      <c r="A1" s="39" t="n"/>
      <c r="B1" s="39" t="n"/>
      <c r="C1" s="39" t="n"/>
      <c r="D1" s="39" t="n"/>
      <c r="E1" s="39" t="n"/>
      <c r="F1" s="39" t="n"/>
      <c r="G1" s="39" t="n"/>
      <c r="H1" s="39" t="n"/>
      <c r="I1" s="39" t="n"/>
      <c r="J1" s="39" t="n"/>
      <c r="K1" s="39" t="n"/>
      <c r="L1" s="39" t="n"/>
      <c r="M1" s="39" t="n"/>
      <c r="N1" s="39" t="n"/>
    </row>
    <row r="2" ht="28" customHeight="1">
      <c r="A2" s="121" t="inlineStr">
        <is>
          <t>Module Code</t>
        </is>
      </c>
      <c r="B2" s="91" t="inlineStr">
        <is>
          <t>IT_WALLET_FLOW</t>
        </is>
      </c>
      <c r="G2" s="39" t="n"/>
      <c r="H2" s="39" t="n"/>
      <c r="I2" s="39" t="n"/>
      <c r="J2" s="39" t="n"/>
      <c r="K2" s="39" t="n"/>
      <c r="L2" s="39" t="n"/>
      <c r="M2" s="39" t="n"/>
      <c r="N2" s="39" t="n"/>
    </row>
    <row r="3" ht="23" customHeight="1">
      <c r="A3" s="90" t="inlineStr">
        <is>
          <t>Test requirement</t>
        </is>
      </c>
      <c r="B3" s="91" t="inlineStr">
        <is>
          <t>Kiểm thử tích hợp cổng nạp tiền VietQR tự động, tính hợp lệ hạn mức BVA, đồng bộ số dư ví và lưu vết lịch sử giao dịch.</t>
        </is>
      </c>
      <c r="G3" s="39" t="n"/>
      <c r="H3" s="39" t="n"/>
      <c r="I3" s="39" t="n"/>
      <c r="J3" s="39" t="n"/>
      <c r="K3" s="39" t="n"/>
      <c r="L3" s="39" t="n"/>
      <c r="M3" s="39" t="n"/>
      <c r="N3" s="39" t="n"/>
    </row>
    <row r="4" ht="23" customHeight="1">
      <c r="A4" s="122" t="inlineStr">
        <is>
          <t>Tester</t>
        </is>
      </c>
      <c r="B4" s="91" t="inlineStr">
        <is>
          <t>Nhóm 15 (Lê Minh Quân, Lê Xuân Đạt)</t>
        </is>
      </c>
      <c r="D4" s="123" t="n"/>
      <c r="E4" s="124" t="n"/>
      <c r="G4" s="39" t="n"/>
      <c r="H4" s="39" t="n"/>
      <c r="I4" s="39" t="n"/>
      <c r="J4" s="39" t="n"/>
      <c r="K4" s="39" t="n"/>
      <c r="L4" s="39" t="n"/>
      <c r="M4" s="39" t="n"/>
      <c r="N4" s="39" t="n"/>
    </row>
    <row r="5" ht="24" customHeight="1">
      <c r="A5" s="81" t="inlineStr">
        <is>
          <t>Pass</t>
        </is>
      </c>
      <c r="B5" s="81" t="inlineStr">
        <is>
          <t>Fail</t>
        </is>
      </c>
      <c r="C5" s="92" t="inlineStr">
        <is>
          <t>Untested</t>
        </is>
      </c>
      <c r="D5" s="92" t="inlineStr">
        <is>
          <t>N/A</t>
        </is>
      </c>
      <c r="E5" s="92" t="inlineStr">
        <is>
          <t>Number of Test cases</t>
        </is>
      </c>
      <c r="F5" s="125" t="n"/>
      <c r="G5" s="39" t="n"/>
      <c r="H5" s="39" t="n"/>
      <c r="I5" s="39" t="n"/>
      <c r="J5" s="39" t="n"/>
      <c r="K5" s="39" t="n"/>
      <c r="L5" s="39" t="n"/>
      <c r="M5" s="39" t="n"/>
      <c r="N5" s="39" t="n"/>
    </row>
    <row r="6" ht="24" customHeight="1">
      <c r="A6" s="114">
        <f>COUNTIF(G9:G100,"Pass")</f>
        <v/>
      </c>
      <c r="B6" s="126">
        <f>COUNTIF(G9:G100,"Fail")</f>
        <v/>
      </c>
      <c r="C6" s="94">
        <f>E6-D6-B6-A6</f>
        <v/>
      </c>
      <c r="D6" s="94">
        <f>COUNTIF(G9:G100,"N/A")</f>
        <v/>
      </c>
      <c r="E6" s="94">
        <f>COUNTA(A9:A100)</f>
        <v/>
      </c>
      <c r="F6" s="125" t="n"/>
      <c r="G6" s="39" t="n"/>
      <c r="H6" s="39" t="n"/>
      <c r="I6" s="39" t="n"/>
      <c r="J6" s="39" t="n"/>
      <c r="K6" s="39" t="n"/>
      <c r="L6" s="39" t="n"/>
      <c r="M6" s="39" t="n"/>
      <c r="N6" s="39" t="n"/>
    </row>
    <row r="7">
      <c r="A7" s="39" t="n"/>
      <c r="B7" s="39" t="n"/>
      <c r="C7" s="39" t="n"/>
      <c r="D7" s="39" t="n"/>
      <c r="E7" s="39" t="n"/>
      <c r="F7" s="39" t="n"/>
      <c r="G7" s="39" t="n"/>
      <c r="H7" s="39" t="n"/>
      <c r="I7" s="39" t="n"/>
      <c r="J7" s="39" t="n"/>
      <c r="K7" s="39" t="n"/>
      <c r="L7" s="39" t="n"/>
      <c r="M7" s="39" t="n"/>
      <c r="N7" s="39" t="n"/>
    </row>
    <row r="8" ht="28" customHeight="1">
      <c r="A8" s="81" t="inlineStr">
        <is>
          <t>ID</t>
        </is>
      </c>
      <c r="B8" s="81" t="inlineStr">
        <is>
          <t>Test Case Description</t>
        </is>
      </c>
      <c r="C8" s="81" t="inlineStr">
        <is>
          <t>Pre-condition</t>
        </is>
      </c>
      <c r="D8" s="81" t="inlineStr">
        <is>
          <t>Test Steps</t>
        </is>
      </c>
      <c r="E8" s="81" t="inlineStr">
        <is>
          <t>Expected Output</t>
        </is>
      </c>
      <c r="F8" s="81" t="inlineStr">
        <is>
          <t>Post-condtion</t>
        </is>
      </c>
      <c r="G8" s="81" t="inlineStr">
        <is>
          <t>Result</t>
        </is>
      </c>
      <c r="H8" s="95" t="inlineStr">
        <is>
          <t>Test date</t>
        </is>
      </c>
      <c r="I8" s="95" t="inlineStr">
        <is>
          <t>Note</t>
        </is>
      </c>
      <c r="J8" s="39" t="n"/>
      <c r="K8" s="39" t="n"/>
      <c r="L8" s="39" t="n"/>
      <c r="M8" s="39" t="n"/>
      <c r="N8" s="39" t="n"/>
    </row>
    <row r="9" ht="88" customHeight="1">
      <c r="A9" s="127" t="inlineStr">
        <is>
          <t>[ITC-02]</t>
        </is>
      </c>
      <c r="B9" s="128" t="inlineStr">
        <is>
          <t>Tích hợp Nạp tiền VietQR Auto -&gt; Cộng số dư ví -&gt; Ghi nhận Transaction History.
Kiểm tra tương tác DepositModal ↔ WalletPage ↔ AppContext và hàm validateDepositAmount().</t>
        </is>
      </c>
      <c r="C9" s="128" t="inlineStr">
        <is>
          <t>Khách hàng đã đăng nhập, số dư ví hiện tại là 50.000 VNĐ.</t>
        </is>
      </c>
      <c r="D9" s="128" t="inlineStr">
        <is>
          <t>1. Mở modal nạp tiền, chọn mệnh giá nạp 200.000 VNĐ (hạn mức BVA hợp lệ).
2. Hệ thống sinh mã VietQR động NAPAS kèm mã giao dịch GR_NAP_XXXXX.
3. Nhấn xác nhận hoàn tất nạp tiền.
4. Kiểm tra cập nhật số dư ví trên Header và kiểm tra bảng Lịch sử giao dịch tại WalletPage.</t>
        </is>
      </c>
      <c r="E9" s="128" t="inlineStr">
        <is>
          <t>1. Số dư ví trong AppContext và LocalStorage tự động cộng dồn lên đúng 250.000 VNĐ (50.000 + 200.000).
2. Bảng Lịch sử giao dịch ghi nhận 1 bản ghi mới với mã TX-XXXXX, loại 'Nạp tiền VietQR Auto', số tiền '+200.000 VNĐ', trạng thái 'Thành công'.
3. Không xảy ra lỗi làm tròn số thực dạng thập phân (Fixed BUG-IT-001).</t>
        </is>
      </c>
      <c r="F9" s="128" t="inlineStr">
        <is>
          <t>Số dư ví cập nhật chính xác 250.000 VNĐ, giao dịch lưu vết vĩnh viễn.</t>
        </is>
      </c>
      <c r="G9" s="114" t="inlineStr">
        <is>
          <t>Pass</t>
        </is>
      </c>
      <c r="H9" s="99" t="inlineStr">
        <is>
          <t>26/09/2026</t>
        </is>
      </c>
      <c r="I9" s="97" t="inlineStr">
        <is>
          <t>Đã tự động hóa trong integrationFlows.test.js ([ITC-02]).</t>
        </is>
      </c>
      <c r="J9" s="39" t="n"/>
      <c r="K9" s="39" t="n"/>
      <c r="L9" s="39" t="n"/>
      <c r="M9" s="39" t="n"/>
      <c r="N9" s="39" t="n"/>
    </row>
    <row r="10">
      <c r="A10" s="39" t="n"/>
      <c r="B10" s="39" t="n"/>
      <c r="C10" s="39" t="n"/>
      <c r="D10" s="39" t="n"/>
      <c r="E10" s="39" t="n"/>
      <c r="F10" s="39" t="n"/>
      <c r="G10" s="39" t="n"/>
      <c r="H10" s="39" t="n"/>
      <c r="I10" s="39" t="n"/>
      <c r="J10" s="39" t="n"/>
      <c r="K10" s="39" t="n"/>
      <c r="L10" s="39" t="n"/>
      <c r="M10" s="39" t="n"/>
      <c r="N10" s="39" t="n"/>
    </row>
    <row r="11">
      <c r="A11" s="39" t="n"/>
      <c r="B11" s="39" t="n"/>
      <c r="C11" s="39" t="n"/>
      <c r="D11" s="39" t="n"/>
      <c r="E11" s="39" t="n"/>
      <c r="F11" s="39" t="n"/>
      <c r="G11" s="39" t="n"/>
      <c r="H11" s="39" t="n"/>
      <c r="I11" s="39" t="n"/>
      <c r="J11" s="39" t="n"/>
      <c r="K11" s="39" t="n"/>
      <c r="L11" s="39" t="n"/>
      <c r="M11" s="39" t="n"/>
      <c r="N11" s="39" t="n"/>
    </row>
    <row r="12">
      <c r="A12" s="39" t="n"/>
      <c r="B12" s="39" t="n"/>
      <c r="C12" s="39" t="n"/>
      <c r="D12" s="39" t="n"/>
      <c r="E12" s="39" t="n"/>
      <c r="F12" s="39" t="n"/>
      <c r="G12" s="39" t="n"/>
      <c r="H12" s="39" t="n"/>
      <c r="I12" s="39" t="n"/>
      <c r="J12" s="39" t="n"/>
      <c r="K12" s="39" t="n"/>
      <c r="L12" s="39" t="n"/>
      <c r="M12" s="39" t="n"/>
      <c r="N12" s="39" t="n"/>
    </row>
    <row r="13">
      <c r="A13" s="39" t="n"/>
      <c r="B13" s="39" t="n"/>
      <c r="C13" s="39" t="n"/>
      <c r="D13" s="39" t="n"/>
      <c r="E13" s="39" t="n"/>
      <c r="F13" s="39" t="n"/>
      <c r="G13" s="39" t="n"/>
      <c r="H13" s="39" t="n"/>
      <c r="I13" s="39" t="n"/>
      <c r="J13" s="39" t="n"/>
      <c r="K13" s="39" t="n"/>
      <c r="L13" s="39" t="n"/>
      <c r="M13" s="39" t="n"/>
      <c r="N13" s="39" t="n"/>
    </row>
    <row r="14">
      <c r="A14" s="39" t="n"/>
      <c r="B14" s="39" t="n"/>
      <c r="C14" s="39" t="n"/>
      <c r="D14" s="39" t="n"/>
      <c r="E14" s="39" t="n"/>
      <c r="F14" s="39" t="n"/>
      <c r="G14" s="39" t="n"/>
      <c r="H14" s="39" t="n"/>
      <c r="I14" s="39" t="n"/>
      <c r="J14" s="39" t="n"/>
      <c r="K14" s="39" t="n"/>
      <c r="L14" s="39" t="n"/>
      <c r="M14" s="39" t="n"/>
      <c r="N14" s="39" t="n"/>
    </row>
    <row r="15">
      <c r="A15" s="39" t="n"/>
      <c r="B15" s="39" t="n"/>
      <c r="C15" s="39" t="n"/>
      <c r="D15" s="39" t="n"/>
      <c r="E15" s="39" t="n"/>
      <c r="F15" s="39" t="n"/>
      <c r="G15" s="39" t="n"/>
      <c r="H15" s="39" t="n"/>
      <c r="I15" s="39" t="n"/>
      <c r="J15" s="39" t="n"/>
      <c r="K15" s="39" t="n"/>
      <c r="L15" s="39" t="n"/>
      <c r="M15" s="39" t="n"/>
      <c r="N15" s="39" t="n"/>
    </row>
    <row r="16">
      <c r="A16" s="39" t="n"/>
      <c r="B16" s="39" t="n"/>
      <c r="C16" s="39" t="n"/>
      <c r="D16" s="39" t="n"/>
      <c r="E16" s="39" t="n"/>
      <c r="F16" s="39" t="n"/>
      <c r="G16" s="39" t="n"/>
      <c r="H16" s="39" t="n"/>
      <c r="I16" s="39" t="n"/>
      <c r="J16" s="39" t="n"/>
      <c r="K16" s="39" t="n"/>
      <c r="L16" s="39" t="n"/>
      <c r="M16" s="39" t="n"/>
      <c r="N16" s="39" t="n"/>
    </row>
    <row r="17">
      <c r="A17" s="39" t="n"/>
      <c r="B17" s="39" t="n"/>
      <c r="C17" s="39" t="n"/>
      <c r="D17" s="39" t="n"/>
      <c r="E17" s="39" t="n"/>
      <c r="F17" s="39" t="n"/>
      <c r="G17" s="39" t="n"/>
      <c r="H17" s="39" t="n"/>
      <c r="I17" s="39" t="n"/>
      <c r="J17" s="39" t="n"/>
      <c r="K17" s="39" t="n"/>
      <c r="L17" s="39" t="n"/>
      <c r="M17" s="39" t="n"/>
      <c r="N17" s="39" t="n"/>
    </row>
    <row r="18">
      <c r="A18" s="39" t="n"/>
      <c r="B18" s="39" t="n"/>
      <c r="C18" s="39" t="n"/>
      <c r="D18" s="39" t="n"/>
      <c r="E18" s="39" t="n"/>
      <c r="F18" s="39" t="n"/>
      <c r="G18" s="39" t="n"/>
      <c r="H18" s="39" t="n"/>
      <c r="I18" s="39" t="n"/>
      <c r="J18" s="39" t="n"/>
      <c r="K18" s="39" t="n"/>
      <c r="L18" s="39" t="n"/>
      <c r="M18" s="39" t="n"/>
      <c r="N18" s="39" t="n"/>
    </row>
    <row r="19">
      <c r="A19" s="39" t="n"/>
      <c r="B19" s="39" t="n"/>
      <c r="C19" s="39" t="n"/>
      <c r="D19" s="39" t="n"/>
      <c r="E19" s="39" t="n"/>
      <c r="F19" s="39" t="n"/>
      <c r="G19" s="39" t="n"/>
      <c r="H19" s="39" t="n"/>
      <c r="I19" s="39" t="n"/>
      <c r="J19" s="39" t="n"/>
      <c r="K19" s="39" t="n"/>
      <c r="L19" s="39" t="n"/>
      <c r="M19" s="39" t="n"/>
      <c r="N19" s="39" t="n"/>
    </row>
    <row r="20">
      <c r="A20" s="39" t="n"/>
      <c r="B20" s="39" t="n"/>
      <c r="C20" s="39" t="n"/>
      <c r="D20" s="39" t="n"/>
      <c r="E20" s="39" t="n"/>
      <c r="F20" s="39" t="n"/>
      <c r="G20" s="39" t="n"/>
      <c r="H20" s="39" t="n"/>
      <c r="I20" s="39" t="n"/>
      <c r="J20" s="39" t="n"/>
      <c r="K20" s="39" t="n"/>
      <c r="L20" s="39" t="n"/>
      <c r="M20" s="39" t="n"/>
      <c r="N20" s="39" t="n"/>
    </row>
    <row r="21">
      <c r="A21" s="39" t="n"/>
      <c r="B21" s="39" t="n"/>
      <c r="C21" s="39" t="n"/>
      <c r="D21" s="39" t="n"/>
      <c r="E21" s="39" t="n"/>
      <c r="F21" s="39" t="n"/>
      <c r="G21" s="39" t="n"/>
      <c r="H21" s="39" t="n"/>
      <c r="I21" s="39" t="n"/>
      <c r="J21" s="39" t="n"/>
      <c r="K21" s="39" t="n"/>
      <c r="L21" s="39" t="n"/>
      <c r="M21" s="39" t="n"/>
      <c r="N21" s="39" t="n"/>
    </row>
    <row r="22">
      <c r="A22" s="39" t="n"/>
      <c r="B22" s="39" t="n"/>
      <c r="C22" s="39" t="n"/>
      <c r="D22" s="39" t="n"/>
      <c r="E22" s="39" t="n"/>
      <c r="F22" s="39" t="n"/>
      <c r="G22" s="39" t="n"/>
      <c r="H22" s="39" t="n"/>
      <c r="I22" s="39" t="n"/>
      <c r="J22" s="39" t="n"/>
      <c r="K22" s="39" t="n"/>
      <c r="L22" s="39" t="n"/>
      <c r="M22" s="39" t="n"/>
      <c r="N22" s="39" t="n"/>
    </row>
    <row r="23">
      <c r="A23" s="39" t="n"/>
      <c r="B23" s="39" t="n"/>
      <c r="C23" s="39" t="n"/>
      <c r="D23" s="39" t="n"/>
      <c r="E23" s="39" t="n"/>
      <c r="F23" s="39" t="n"/>
      <c r="G23" s="39" t="n"/>
      <c r="H23" s="39" t="n"/>
      <c r="I23" s="39" t="n"/>
      <c r="J23" s="39" t="n"/>
      <c r="K23" s="39" t="n"/>
      <c r="L23" s="39" t="n"/>
      <c r="M23" s="39" t="n"/>
      <c r="N23" s="39" t="n"/>
    </row>
    <row r="24">
      <c r="A24" s="39" t="n"/>
      <c r="B24" s="39" t="n"/>
      <c r="C24" s="39" t="n"/>
      <c r="D24" s="39" t="n"/>
      <c r="E24" s="39" t="n"/>
      <c r="F24" s="39" t="n"/>
      <c r="G24" s="39" t="n"/>
      <c r="H24" s="39" t="n"/>
      <c r="I24" s="39" t="n"/>
      <c r="J24" s="39" t="n"/>
      <c r="K24" s="39" t="n"/>
      <c r="L24" s="39" t="n"/>
      <c r="M24" s="39" t="n"/>
      <c r="N24" s="39" t="n"/>
    </row>
    <row r="25">
      <c r="A25" s="39" t="n"/>
      <c r="B25" s="39" t="n"/>
      <c r="C25" s="39" t="n"/>
      <c r="D25" s="39" t="n"/>
      <c r="E25" s="39" t="n"/>
      <c r="F25" s="39" t="n"/>
      <c r="G25" s="39" t="n"/>
      <c r="H25" s="39" t="n"/>
      <c r="I25" s="39" t="n"/>
      <c r="J25" s="39" t="n"/>
      <c r="K25" s="39" t="n"/>
      <c r="L25" s="39" t="n"/>
      <c r="M25" s="39" t="n"/>
      <c r="N25" s="39" t="n"/>
    </row>
    <row r="26">
      <c r="A26" s="39" t="n"/>
      <c r="B26" s="39" t="n"/>
      <c r="C26" s="39" t="n"/>
      <c r="D26" s="39" t="n"/>
      <c r="E26" s="39" t="n"/>
      <c r="F26" s="39" t="n"/>
      <c r="G26" s="39" t="n"/>
      <c r="H26" s="39" t="n"/>
      <c r="I26" s="39" t="n"/>
      <c r="J26" s="39" t="n"/>
      <c r="K26" s="39" t="n"/>
      <c r="L26" s="39" t="n"/>
      <c r="M26" s="39" t="n"/>
      <c r="N26" s="39" t="n"/>
    </row>
    <row r="27">
      <c r="A27" s="39" t="n"/>
      <c r="B27" s="39" t="n"/>
      <c r="C27" s="39" t="n"/>
      <c r="D27" s="39" t="n"/>
      <c r="E27" s="39" t="n"/>
      <c r="F27" s="39" t="n"/>
      <c r="G27" s="39" t="n"/>
      <c r="H27" s="39" t="n"/>
      <c r="I27" s="39" t="n"/>
      <c r="J27" s="39" t="n"/>
      <c r="K27" s="39" t="n"/>
      <c r="L27" s="39" t="n"/>
      <c r="M27" s="39" t="n"/>
      <c r="N27" s="39" t="n"/>
    </row>
    <row r="28">
      <c r="A28" s="39" t="n"/>
      <c r="B28" s="39" t="n"/>
      <c r="C28" s="39" t="n"/>
      <c r="D28" s="39" t="n"/>
      <c r="E28" s="39" t="n"/>
      <c r="F28" s="39" t="n"/>
      <c r="G28" s="39" t="n"/>
      <c r="H28" s="39" t="n"/>
      <c r="I28" s="39" t="n"/>
      <c r="J28" s="39" t="n"/>
      <c r="K28" s="39" t="n"/>
      <c r="L28" s="39" t="n"/>
      <c r="M28" s="39" t="n"/>
      <c r="N28" s="39" t="n"/>
    </row>
    <row r="29">
      <c r="A29" s="39" t="n"/>
      <c r="B29" s="39" t="n"/>
      <c r="C29" s="39" t="n"/>
      <c r="D29" s="39" t="n"/>
      <c r="E29" s="39" t="n"/>
      <c r="F29" s="39" t="n"/>
      <c r="G29" s="39" t="n"/>
      <c r="H29" s="39" t="n"/>
      <c r="I29" s="39" t="n"/>
      <c r="J29" s="39" t="n"/>
      <c r="K29" s="39" t="n"/>
      <c r="L29" s="39" t="n"/>
      <c r="M29" s="39" t="n"/>
      <c r="N29" s="39" t="n"/>
    </row>
  </sheetData>
  <mergeCells count="5">
    <mergeCell ref="B4:F4"/>
    <mergeCell ref="E6:F6"/>
    <mergeCell ref="B2:F2"/>
    <mergeCell ref="B3:F3"/>
    <mergeCell ref="E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
  <sheetViews>
    <sheetView showGridLines="1" workbookViewId="0">
      <selection activeCell="A1" sqref="A1"/>
    </sheetView>
  </sheetViews>
  <sheetFormatPr baseColWidth="8" defaultRowHeight="15"/>
  <cols>
    <col width="12" customWidth="1" min="1" max="1"/>
    <col width="32" customWidth="1" min="2" max="2"/>
    <col width="28" customWidth="1" min="3" max="3"/>
    <col width="48" customWidth="1" min="4" max="4"/>
    <col width="48" customWidth="1" min="5" max="5"/>
    <col width="32" customWidth="1" min="6" max="6"/>
    <col width="12" customWidth="1" min="7" max="7"/>
    <col width="14" customWidth="1" min="8" max="8"/>
    <col width="26" customWidth="1" min="9" max="9"/>
  </cols>
  <sheetData>
    <row r="1">
      <c r="A1" s="39" t="n"/>
      <c r="B1" s="39" t="n"/>
      <c r="C1" s="39" t="n"/>
      <c r="D1" s="39" t="n"/>
      <c r="E1" s="39" t="n"/>
      <c r="F1" s="39" t="n"/>
      <c r="G1" s="39" t="n"/>
      <c r="H1" s="39" t="n"/>
      <c r="I1" s="39" t="n"/>
      <c r="J1" s="39" t="n"/>
      <c r="K1" s="39" t="n"/>
      <c r="L1" s="39" t="n"/>
      <c r="M1" s="39" t="n"/>
      <c r="N1" s="39" t="n"/>
    </row>
    <row r="2" ht="28" customHeight="1">
      <c r="A2" s="121" t="inlineStr">
        <is>
          <t>Module Code</t>
        </is>
      </c>
      <c r="B2" s="91" t="inlineStr">
        <is>
          <t>IT_RENT_DELIVER</t>
        </is>
      </c>
      <c r="G2" s="39" t="n"/>
      <c r="H2" s="39" t="n"/>
      <c r="I2" s="39" t="n"/>
      <c r="J2" s="39" t="n"/>
      <c r="K2" s="39" t="n"/>
      <c r="L2" s="39" t="n"/>
      <c r="M2" s="39" t="n"/>
      <c r="N2" s="39" t="n"/>
    </row>
    <row r="3" ht="23" customHeight="1">
      <c r="A3" s="90" t="inlineStr">
        <is>
          <t>Test requirement</t>
        </is>
      </c>
      <c r="B3" s="91" t="inlineStr">
        <is>
          <t>Kiểm thử tích hợp quy trình thuê nick: tính toán chi phí, trừ ví người dùng, chuyển đổi trạng thái tài khoản in-game và cấp thông tin bảo mật.</t>
        </is>
      </c>
      <c r="G3" s="39" t="n"/>
      <c r="H3" s="39" t="n"/>
      <c r="I3" s="39" t="n"/>
      <c r="J3" s="39" t="n"/>
      <c r="K3" s="39" t="n"/>
      <c r="L3" s="39" t="n"/>
      <c r="M3" s="39" t="n"/>
      <c r="N3" s="39" t="n"/>
    </row>
    <row r="4" ht="23" customHeight="1">
      <c r="A4" s="122" t="inlineStr">
        <is>
          <t>Tester</t>
        </is>
      </c>
      <c r="B4" s="91" t="inlineStr">
        <is>
          <t>Nhóm 15 (Lê Minh Quân, Lê Thanh Tùng)</t>
        </is>
      </c>
      <c r="D4" s="123" t="n"/>
      <c r="E4" s="124" t="n"/>
      <c r="G4" s="39" t="n"/>
      <c r="H4" s="39" t="n"/>
      <c r="I4" s="39" t="n"/>
      <c r="J4" s="39" t="n"/>
      <c r="K4" s="39" t="n"/>
      <c r="L4" s="39" t="n"/>
      <c r="M4" s="39" t="n"/>
      <c r="N4" s="39" t="n"/>
    </row>
    <row r="5" ht="24" customHeight="1">
      <c r="A5" s="81" t="inlineStr">
        <is>
          <t>Pass</t>
        </is>
      </c>
      <c r="B5" s="81" t="inlineStr">
        <is>
          <t>Fail</t>
        </is>
      </c>
      <c r="C5" s="92" t="inlineStr">
        <is>
          <t>Untested</t>
        </is>
      </c>
      <c r="D5" s="92" t="inlineStr">
        <is>
          <t>N/A</t>
        </is>
      </c>
      <c r="E5" s="92" t="inlineStr">
        <is>
          <t>Number of Test cases</t>
        </is>
      </c>
      <c r="F5" s="125" t="n"/>
      <c r="G5" s="39" t="n"/>
      <c r="H5" s="39" t="n"/>
      <c r="I5" s="39" t="n"/>
      <c r="J5" s="39" t="n"/>
      <c r="K5" s="39" t="n"/>
      <c r="L5" s="39" t="n"/>
      <c r="M5" s="39" t="n"/>
      <c r="N5" s="39" t="n"/>
    </row>
    <row r="6" ht="24" customHeight="1">
      <c r="A6" s="114">
        <f>COUNTIF(G9:G100,"Pass")</f>
        <v/>
      </c>
      <c r="B6" s="126">
        <f>COUNTIF(G9:G100,"Fail")</f>
        <v/>
      </c>
      <c r="C6" s="94">
        <f>E6-D6-B6-A6</f>
        <v/>
      </c>
      <c r="D6" s="94">
        <f>COUNTIF(G9:G100,"N/A")</f>
        <v/>
      </c>
      <c r="E6" s="94">
        <f>COUNTA(A9:A100)</f>
        <v/>
      </c>
      <c r="F6" s="125" t="n"/>
      <c r="G6" s="39" t="n"/>
      <c r="H6" s="39" t="n"/>
      <c r="I6" s="39" t="n"/>
      <c r="J6" s="39" t="n"/>
      <c r="K6" s="39" t="n"/>
      <c r="L6" s="39" t="n"/>
      <c r="M6" s="39" t="n"/>
      <c r="N6" s="39" t="n"/>
    </row>
    <row r="7">
      <c r="A7" s="39" t="n"/>
      <c r="B7" s="39" t="n"/>
      <c r="C7" s="39" t="n"/>
      <c r="D7" s="39" t="n"/>
      <c r="E7" s="39" t="n"/>
      <c r="F7" s="39" t="n"/>
      <c r="G7" s="39" t="n"/>
      <c r="H7" s="39" t="n"/>
      <c r="I7" s="39" t="n"/>
      <c r="J7" s="39" t="n"/>
      <c r="K7" s="39" t="n"/>
      <c r="L7" s="39" t="n"/>
      <c r="M7" s="39" t="n"/>
      <c r="N7" s="39" t="n"/>
    </row>
    <row r="8" ht="28" customHeight="1">
      <c r="A8" s="81" t="inlineStr">
        <is>
          <t>ID</t>
        </is>
      </c>
      <c r="B8" s="81" t="inlineStr">
        <is>
          <t>Test Case Description</t>
        </is>
      </c>
      <c r="C8" s="81" t="inlineStr">
        <is>
          <t>Pre-condition</t>
        </is>
      </c>
      <c r="D8" s="81" t="inlineStr">
        <is>
          <t>Test Steps</t>
        </is>
      </c>
      <c r="E8" s="81" t="inlineStr">
        <is>
          <t>Expected Output</t>
        </is>
      </c>
      <c r="F8" s="81" t="inlineStr">
        <is>
          <t>Post-condtion</t>
        </is>
      </c>
      <c r="G8" s="81" t="inlineStr">
        <is>
          <t>Result</t>
        </is>
      </c>
      <c r="H8" s="95" t="inlineStr">
        <is>
          <t>Test date</t>
        </is>
      </c>
      <c r="I8" s="95" t="inlineStr">
        <is>
          <t>Note</t>
        </is>
      </c>
      <c r="J8" s="39" t="n"/>
      <c r="K8" s="39" t="n"/>
      <c r="L8" s="39" t="n"/>
      <c r="M8" s="39" t="n"/>
      <c r="N8" s="39" t="n"/>
    </row>
    <row r="9" ht="88" customHeight="1">
      <c r="A9" s="127" t="inlineStr">
        <is>
          <t>[ITC-03]</t>
        </is>
      </c>
      <c r="B9" s="128" t="inlineStr">
        <is>
          <t>Tích hợp Thuê acc -&gt; Trừ ví -&gt; Cấp pass in-game -&gt; Đổi status acc sang 'rented'.
Kiểm tra tương tác RentConfirmModal ↔ AccountCard ↔ AppContext và hàm calculateRentalCost().</t>
        </is>
      </c>
      <c r="C9" s="128" t="inlineStr">
        <is>
          <t>Ví khách có 250.000 VNĐ, tài khoản game 'ACCVAL001' giá 15.000 VNĐ/h đang ở trạng thái 'available'.</t>
        </is>
      </c>
      <c r="D9" s="128" t="inlineStr">
        <is>
          <t>1. Bấm nút 'Thuê Ngay' trên thẻ 'ACCVAL001', chọn thuê 2 giờ (tổng tiền 30.000 VNĐ).
2. Tick cam kết quy chế dịch vụ, nhấn button 'Xác Nhận Thuê'.
3. Quan sát modal bàn giao thông tin và kiểm tra trạng thái thẻ tài khoản trên Cửa hàng.</t>
        </is>
      </c>
      <c r="E9" s="128" t="inlineStr">
        <is>
          <t>1. Số dư ví khách hàng bị trừ chính xác 30.000 VNĐ (còn lại 220.000 VNĐ).
2. Modal bàn giao hiển thị Tên tài khoản in-game và Mật khẩu bí mật kèm nút sao chép 1-click.
3. Trạng thái tài khoản 'ACCVAL001' trong CSDL chuyển từ 'available' sang 'rented'.
4. Sinh đơn thuê mới mã ORDER-XXXXX trong danh sách gamerent_rentals với thời hạn 7.200 giây.</t>
        </is>
      </c>
      <c r="F9" s="128" t="inlineStr">
        <is>
          <t>Tài khoản game được khóa độc quyền cho khách hàng; ví trừ đúng 30k.</t>
        </is>
      </c>
      <c r="G9" s="114" t="inlineStr">
        <is>
          <t>Pass</t>
        </is>
      </c>
      <c r="H9" s="99" t="inlineStr">
        <is>
          <t>26/09/2026</t>
        </is>
      </c>
      <c r="I9" s="97" t="inlineStr">
        <is>
          <t>Đã tự động hóa trong integrationFlows.test.js ([ITC-03]).</t>
        </is>
      </c>
      <c r="J9" s="39" t="n"/>
      <c r="K9" s="39" t="n"/>
      <c r="L9" s="39" t="n"/>
      <c r="M9" s="39" t="n"/>
      <c r="N9" s="39" t="n"/>
    </row>
    <row r="10">
      <c r="A10" s="39" t="n"/>
      <c r="B10" s="39" t="n"/>
      <c r="C10" s="39" t="n"/>
      <c r="D10" s="39" t="n"/>
      <c r="E10" s="39" t="n"/>
      <c r="F10" s="39" t="n"/>
      <c r="G10" s="39" t="n"/>
      <c r="H10" s="39" t="n"/>
      <c r="I10" s="39" t="n"/>
      <c r="J10" s="39" t="n"/>
      <c r="K10" s="39" t="n"/>
      <c r="L10" s="39" t="n"/>
      <c r="M10" s="39" t="n"/>
      <c r="N10" s="39" t="n"/>
    </row>
    <row r="11">
      <c r="A11" s="39" t="n"/>
      <c r="B11" s="39" t="n"/>
      <c r="C11" s="39" t="n"/>
      <c r="D11" s="39" t="n"/>
      <c r="E11" s="39" t="n"/>
      <c r="F11" s="39" t="n"/>
      <c r="G11" s="39" t="n"/>
      <c r="H11" s="39" t="n"/>
      <c r="I11" s="39" t="n"/>
      <c r="J11" s="39" t="n"/>
      <c r="K11" s="39" t="n"/>
      <c r="L11" s="39" t="n"/>
      <c r="M11" s="39" t="n"/>
      <c r="N11" s="39" t="n"/>
    </row>
    <row r="12">
      <c r="A12" s="39" t="n"/>
      <c r="B12" s="39" t="n"/>
      <c r="C12" s="39" t="n"/>
      <c r="D12" s="39" t="n"/>
      <c r="E12" s="39" t="n"/>
      <c r="F12" s="39" t="n"/>
      <c r="G12" s="39" t="n"/>
      <c r="H12" s="39" t="n"/>
      <c r="I12" s="39" t="n"/>
      <c r="J12" s="39" t="n"/>
      <c r="K12" s="39" t="n"/>
      <c r="L12" s="39" t="n"/>
      <c r="M12" s="39" t="n"/>
      <c r="N12" s="39" t="n"/>
    </row>
    <row r="13">
      <c r="A13" s="39" t="n"/>
      <c r="B13" s="39" t="n"/>
      <c r="C13" s="39" t="n"/>
      <c r="D13" s="39" t="n"/>
      <c r="E13" s="39" t="n"/>
      <c r="F13" s="39" t="n"/>
      <c r="G13" s="39" t="n"/>
      <c r="H13" s="39" t="n"/>
      <c r="I13" s="39" t="n"/>
      <c r="J13" s="39" t="n"/>
      <c r="K13" s="39" t="n"/>
      <c r="L13" s="39" t="n"/>
      <c r="M13" s="39" t="n"/>
      <c r="N13" s="39" t="n"/>
    </row>
    <row r="14">
      <c r="A14" s="39" t="n"/>
      <c r="B14" s="39" t="n"/>
      <c r="C14" s="39" t="n"/>
      <c r="D14" s="39" t="n"/>
      <c r="E14" s="39" t="n"/>
      <c r="F14" s="39" t="n"/>
      <c r="G14" s="39" t="n"/>
      <c r="H14" s="39" t="n"/>
      <c r="I14" s="39" t="n"/>
      <c r="J14" s="39" t="n"/>
      <c r="K14" s="39" t="n"/>
      <c r="L14" s="39" t="n"/>
      <c r="M14" s="39" t="n"/>
      <c r="N14" s="39" t="n"/>
    </row>
    <row r="15">
      <c r="A15" s="39" t="n"/>
      <c r="B15" s="39" t="n"/>
      <c r="C15" s="39" t="n"/>
      <c r="D15" s="39" t="n"/>
      <c r="E15" s="39" t="n"/>
      <c r="F15" s="39" t="n"/>
      <c r="G15" s="39" t="n"/>
      <c r="H15" s="39" t="n"/>
      <c r="I15" s="39" t="n"/>
      <c r="J15" s="39" t="n"/>
      <c r="K15" s="39" t="n"/>
      <c r="L15" s="39" t="n"/>
      <c r="M15" s="39" t="n"/>
      <c r="N15" s="39" t="n"/>
    </row>
    <row r="16">
      <c r="A16" s="39" t="n"/>
      <c r="B16" s="39" t="n"/>
      <c r="C16" s="39" t="n"/>
      <c r="D16" s="39" t="n"/>
      <c r="E16" s="39" t="n"/>
      <c r="F16" s="39" t="n"/>
      <c r="G16" s="39" t="n"/>
      <c r="H16" s="39" t="n"/>
      <c r="I16" s="39" t="n"/>
      <c r="J16" s="39" t="n"/>
      <c r="K16" s="39" t="n"/>
      <c r="L16" s="39" t="n"/>
      <c r="M16" s="39" t="n"/>
      <c r="N16" s="39" t="n"/>
    </row>
    <row r="17">
      <c r="A17" s="39" t="n"/>
      <c r="B17" s="39" t="n"/>
      <c r="C17" s="39" t="n"/>
      <c r="D17" s="39" t="n"/>
      <c r="E17" s="39" t="n"/>
      <c r="F17" s="39" t="n"/>
      <c r="G17" s="39" t="n"/>
      <c r="H17" s="39" t="n"/>
      <c r="I17" s="39" t="n"/>
      <c r="J17" s="39" t="n"/>
      <c r="K17" s="39" t="n"/>
      <c r="L17" s="39" t="n"/>
      <c r="M17" s="39" t="n"/>
      <c r="N17" s="39" t="n"/>
    </row>
    <row r="18">
      <c r="A18" s="39" t="n"/>
      <c r="B18" s="39" t="n"/>
      <c r="C18" s="39" t="n"/>
      <c r="D18" s="39" t="n"/>
      <c r="E18" s="39" t="n"/>
      <c r="F18" s="39" t="n"/>
      <c r="G18" s="39" t="n"/>
      <c r="H18" s="39" t="n"/>
      <c r="I18" s="39" t="n"/>
      <c r="J18" s="39" t="n"/>
      <c r="K18" s="39" t="n"/>
      <c r="L18" s="39" t="n"/>
      <c r="M18" s="39" t="n"/>
      <c r="N18" s="39" t="n"/>
    </row>
    <row r="19">
      <c r="A19" s="39" t="n"/>
      <c r="B19" s="39" t="n"/>
      <c r="C19" s="39" t="n"/>
      <c r="D19" s="39" t="n"/>
      <c r="E19" s="39" t="n"/>
      <c r="F19" s="39" t="n"/>
      <c r="G19" s="39" t="n"/>
      <c r="H19" s="39" t="n"/>
      <c r="I19" s="39" t="n"/>
      <c r="J19" s="39" t="n"/>
      <c r="K19" s="39" t="n"/>
      <c r="L19" s="39" t="n"/>
      <c r="M19" s="39" t="n"/>
      <c r="N19" s="39" t="n"/>
    </row>
    <row r="20">
      <c r="A20" s="39" t="n"/>
      <c r="B20" s="39" t="n"/>
      <c r="C20" s="39" t="n"/>
      <c r="D20" s="39" t="n"/>
      <c r="E20" s="39" t="n"/>
      <c r="F20" s="39" t="n"/>
      <c r="G20" s="39" t="n"/>
      <c r="H20" s="39" t="n"/>
      <c r="I20" s="39" t="n"/>
      <c r="J20" s="39" t="n"/>
      <c r="K20" s="39" t="n"/>
      <c r="L20" s="39" t="n"/>
      <c r="M20" s="39" t="n"/>
      <c r="N20" s="39" t="n"/>
    </row>
    <row r="21">
      <c r="A21" s="39" t="n"/>
      <c r="B21" s="39" t="n"/>
      <c r="C21" s="39" t="n"/>
      <c r="D21" s="39" t="n"/>
      <c r="E21" s="39" t="n"/>
      <c r="F21" s="39" t="n"/>
      <c r="G21" s="39" t="n"/>
      <c r="H21" s="39" t="n"/>
      <c r="I21" s="39" t="n"/>
      <c r="J21" s="39" t="n"/>
      <c r="K21" s="39" t="n"/>
      <c r="L21" s="39" t="n"/>
      <c r="M21" s="39" t="n"/>
      <c r="N21" s="39" t="n"/>
    </row>
    <row r="22">
      <c r="A22" s="39" t="n"/>
      <c r="B22" s="39" t="n"/>
      <c r="C22" s="39" t="n"/>
      <c r="D22" s="39" t="n"/>
      <c r="E22" s="39" t="n"/>
      <c r="F22" s="39" t="n"/>
      <c r="G22" s="39" t="n"/>
      <c r="H22" s="39" t="n"/>
      <c r="I22" s="39" t="n"/>
      <c r="J22" s="39" t="n"/>
      <c r="K22" s="39" t="n"/>
      <c r="L22" s="39" t="n"/>
      <c r="M22" s="39" t="n"/>
      <c r="N22" s="39" t="n"/>
    </row>
    <row r="23">
      <c r="A23" s="39" t="n"/>
      <c r="B23" s="39" t="n"/>
      <c r="C23" s="39" t="n"/>
      <c r="D23" s="39" t="n"/>
      <c r="E23" s="39" t="n"/>
      <c r="F23" s="39" t="n"/>
      <c r="G23" s="39" t="n"/>
      <c r="H23" s="39" t="n"/>
      <c r="I23" s="39" t="n"/>
      <c r="J23" s="39" t="n"/>
      <c r="K23" s="39" t="n"/>
      <c r="L23" s="39" t="n"/>
      <c r="M23" s="39" t="n"/>
      <c r="N23" s="39" t="n"/>
    </row>
    <row r="24">
      <c r="A24" s="39" t="n"/>
      <c r="B24" s="39" t="n"/>
      <c r="C24" s="39" t="n"/>
      <c r="D24" s="39" t="n"/>
      <c r="E24" s="39" t="n"/>
      <c r="F24" s="39" t="n"/>
      <c r="G24" s="39" t="n"/>
      <c r="H24" s="39" t="n"/>
      <c r="I24" s="39" t="n"/>
      <c r="J24" s="39" t="n"/>
      <c r="K24" s="39" t="n"/>
      <c r="L24" s="39" t="n"/>
      <c r="M24" s="39" t="n"/>
      <c r="N24" s="39" t="n"/>
    </row>
    <row r="25">
      <c r="A25" s="39" t="n"/>
      <c r="B25" s="39" t="n"/>
      <c r="C25" s="39" t="n"/>
      <c r="D25" s="39" t="n"/>
      <c r="E25" s="39" t="n"/>
      <c r="F25" s="39" t="n"/>
      <c r="G25" s="39" t="n"/>
      <c r="H25" s="39" t="n"/>
      <c r="I25" s="39" t="n"/>
      <c r="J25" s="39" t="n"/>
      <c r="K25" s="39" t="n"/>
      <c r="L25" s="39" t="n"/>
      <c r="M25" s="39" t="n"/>
      <c r="N25" s="39" t="n"/>
    </row>
    <row r="26">
      <c r="A26" s="39" t="n"/>
      <c r="B26" s="39" t="n"/>
      <c r="C26" s="39" t="n"/>
      <c r="D26" s="39" t="n"/>
      <c r="E26" s="39" t="n"/>
      <c r="F26" s="39" t="n"/>
      <c r="G26" s="39" t="n"/>
      <c r="H26" s="39" t="n"/>
      <c r="I26" s="39" t="n"/>
      <c r="J26" s="39" t="n"/>
      <c r="K26" s="39" t="n"/>
      <c r="L26" s="39" t="n"/>
      <c r="M26" s="39" t="n"/>
      <c r="N26" s="39" t="n"/>
    </row>
    <row r="27">
      <c r="A27" s="39" t="n"/>
      <c r="B27" s="39" t="n"/>
      <c r="C27" s="39" t="n"/>
      <c r="D27" s="39" t="n"/>
      <c r="E27" s="39" t="n"/>
      <c r="F27" s="39" t="n"/>
      <c r="G27" s="39" t="n"/>
      <c r="H27" s="39" t="n"/>
      <c r="I27" s="39" t="n"/>
      <c r="J27" s="39" t="n"/>
      <c r="K27" s="39" t="n"/>
      <c r="L27" s="39" t="n"/>
      <c r="M27" s="39" t="n"/>
      <c r="N27" s="39" t="n"/>
    </row>
    <row r="28">
      <c r="A28" s="39" t="n"/>
      <c r="B28" s="39" t="n"/>
      <c r="C28" s="39" t="n"/>
      <c r="D28" s="39" t="n"/>
      <c r="E28" s="39" t="n"/>
      <c r="F28" s="39" t="n"/>
      <c r="G28" s="39" t="n"/>
      <c r="H28" s="39" t="n"/>
      <c r="I28" s="39" t="n"/>
      <c r="J28" s="39" t="n"/>
      <c r="K28" s="39" t="n"/>
      <c r="L28" s="39" t="n"/>
      <c r="M28" s="39" t="n"/>
      <c r="N28" s="39" t="n"/>
    </row>
    <row r="29">
      <c r="A29" s="39" t="n"/>
      <c r="B29" s="39" t="n"/>
      <c r="C29" s="39" t="n"/>
      <c r="D29" s="39" t="n"/>
      <c r="E29" s="39" t="n"/>
      <c r="F29" s="39" t="n"/>
      <c r="G29" s="39" t="n"/>
      <c r="H29" s="39" t="n"/>
      <c r="I29" s="39" t="n"/>
      <c r="J29" s="39" t="n"/>
      <c r="K29" s="39" t="n"/>
      <c r="L29" s="39" t="n"/>
      <c r="M29" s="39" t="n"/>
      <c r="N29" s="39" t="n"/>
    </row>
  </sheetData>
  <mergeCells count="5">
    <mergeCell ref="B4:F4"/>
    <mergeCell ref="E6:F6"/>
    <mergeCell ref="B2:F2"/>
    <mergeCell ref="B3:F3"/>
    <mergeCell ref="E5:F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9"/>
  <sheetViews>
    <sheetView showGridLines="1" workbookViewId="0">
      <selection activeCell="A1" sqref="A1"/>
    </sheetView>
  </sheetViews>
  <sheetFormatPr baseColWidth="8" defaultRowHeight="15"/>
  <cols>
    <col width="12" customWidth="1" min="1" max="1"/>
    <col width="32" customWidth="1" min="2" max="2"/>
    <col width="28" customWidth="1" min="3" max="3"/>
    <col width="48" customWidth="1" min="4" max="4"/>
    <col width="48" customWidth="1" min="5" max="5"/>
    <col width="32" customWidth="1" min="6" max="6"/>
    <col width="12" customWidth="1" min="7" max="7"/>
    <col width="14" customWidth="1" min="8" max="8"/>
    <col width="26" customWidth="1" min="9" max="9"/>
  </cols>
  <sheetData>
    <row r="1">
      <c r="A1" s="39" t="n"/>
      <c r="B1" s="39" t="n"/>
      <c r="C1" s="39" t="n"/>
      <c r="D1" s="39" t="n"/>
      <c r="E1" s="39" t="n"/>
      <c r="F1" s="39" t="n"/>
      <c r="G1" s="39" t="n"/>
      <c r="H1" s="39" t="n"/>
      <c r="I1" s="39" t="n"/>
      <c r="J1" s="39" t="n"/>
      <c r="K1" s="39" t="n"/>
      <c r="L1" s="39" t="n"/>
      <c r="M1" s="39" t="n"/>
      <c r="N1" s="39" t="n"/>
    </row>
    <row r="2" ht="28" customHeight="1">
      <c r="A2" s="121" t="inlineStr">
        <is>
          <t>Module Code</t>
        </is>
      </c>
      <c r="B2" s="91" t="inlineStr">
        <is>
          <t>IT_TIMER_EXT</t>
        </is>
      </c>
      <c r="G2" s="39" t="n"/>
      <c r="H2" s="39" t="n"/>
      <c r="I2" s="39" t="n"/>
      <c r="J2" s="39" t="n"/>
      <c r="K2" s="39" t="n"/>
      <c r="L2" s="39" t="n"/>
      <c r="M2" s="39" t="n"/>
      <c r="N2" s="39" t="n"/>
    </row>
    <row r="3" ht="23" customHeight="1">
      <c r="A3" s="90" t="inlineStr">
        <is>
          <t>Test requirement</t>
        </is>
      </c>
      <c r="B3" s="91" t="inlineStr">
        <is>
          <t>Kiểm thử tích hợp giữa đồng hồ đếm ngược thời gian thực, cơ chế gia hạn cộng dồn thời gian và luồng thu hồi tự động đổi mật khẩu khi hết giờ.</t>
        </is>
      </c>
      <c r="G3" s="39" t="n"/>
      <c r="H3" s="39" t="n"/>
      <c r="I3" s="39" t="n"/>
      <c r="J3" s="39" t="n"/>
      <c r="K3" s="39" t="n"/>
      <c r="L3" s="39" t="n"/>
      <c r="M3" s="39" t="n"/>
      <c r="N3" s="39" t="n"/>
    </row>
    <row r="4" ht="23" customHeight="1">
      <c r="A4" s="122" t="inlineStr">
        <is>
          <t>Tester</t>
        </is>
      </c>
      <c r="B4" s="91" t="inlineStr">
        <is>
          <t>Nhóm 15 (Lê Hải Đăng, Lê Thanh Tùng)</t>
        </is>
      </c>
      <c r="D4" s="123" t="n"/>
      <c r="E4" s="124" t="n"/>
      <c r="G4" s="39" t="n"/>
      <c r="H4" s="39" t="n"/>
      <c r="I4" s="39" t="n"/>
      <c r="J4" s="39" t="n"/>
      <c r="K4" s="39" t="n"/>
      <c r="L4" s="39" t="n"/>
      <c r="M4" s="39" t="n"/>
      <c r="N4" s="39" t="n"/>
    </row>
    <row r="5" ht="24" customHeight="1">
      <c r="A5" s="81" t="inlineStr">
        <is>
          <t>Pass</t>
        </is>
      </c>
      <c r="B5" s="81" t="inlineStr">
        <is>
          <t>Fail</t>
        </is>
      </c>
      <c r="C5" s="92" t="inlineStr">
        <is>
          <t>Untested</t>
        </is>
      </c>
      <c r="D5" s="92" t="inlineStr">
        <is>
          <t>N/A</t>
        </is>
      </c>
      <c r="E5" s="92" t="inlineStr">
        <is>
          <t>Number of Test cases</t>
        </is>
      </c>
      <c r="F5" s="125" t="n"/>
      <c r="G5" s="39" t="n"/>
      <c r="H5" s="39" t="n"/>
      <c r="I5" s="39" t="n"/>
      <c r="J5" s="39" t="n"/>
      <c r="K5" s="39" t="n"/>
      <c r="L5" s="39" t="n"/>
      <c r="M5" s="39" t="n"/>
      <c r="N5" s="39" t="n"/>
    </row>
    <row r="6" ht="24" customHeight="1">
      <c r="A6" s="114">
        <f>COUNTIF(G9:G100,"Pass")</f>
        <v/>
      </c>
      <c r="B6" s="126">
        <f>COUNTIF(G9:G100,"Fail")</f>
        <v/>
      </c>
      <c r="C6" s="94">
        <f>E6-D6-B6-A6</f>
        <v/>
      </c>
      <c r="D6" s="94">
        <f>COUNTIF(G9:G100,"N/A")</f>
        <v/>
      </c>
      <c r="E6" s="94">
        <f>COUNTA(A9:A100)</f>
        <v/>
      </c>
      <c r="F6" s="125" t="n"/>
      <c r="G6" s="39" t="n"/>
      <c r="H6" s="39" t="n"/>
      <c r="I6" s="39" t="n"/>
      <c r="J6" s="39" t="n"/>
      <c r="K6" s="39" t="n"/>
      <c r="L6" s="39" t="n"/>
      <c r="M6" s="39" t="n"/>
      <c r="N6" s="39" t="n"/>
    </row>
    <row r="7">
      <c r="A7" s="39" t="n"/>
      <c r="B7" s="39" t="n"/>
      <c r="C7" s="39" t="n"/>
      <c r="D7" s="39" t="n"/>
      <c r="E7" s="39" t="n"/>
      <c r="F7" s="39" t="n"/>
      <c r="G7" s="39" t="n"/>
      <c r="H7" s="39" t="n"/>
      <c r="I7" s="39" t="n"/>
      <c r="J7" s="39" t="n"/>
      <c r="K7" s="39" t="n"/>
      <c r="L7" s="39" t="n"/>
      <c r="M7" s="39" t="n"/>
      <c r="N7" s="39" t="n"/>
    </row>
    <row r="8" ht="28" customHeight="1">
      <c r="A8" s="81" t="inlineStr">
        <is>
          <t>ID</t>
        </is>
      </c>
      <c r="B8" s="81" t="inlineStr">
        <is>
          <t>Test Case Description</t>
        </is>
      </c>
      <c r="C8" s="81" t="inlineStr">
        <is>
          <t>Pre-condition</t>
        </is>
      </c>
      <c r="D8" s="81" t="inlineStr">
        <is>
          <t>Test Steps</t>
        </is>
      </c>
      <c r="E8" s="81" t="inlineStr">
        <is>
          <t>Expected Output</t>
        </is>
      </c>
      <c r="F8" s="81" t="inlineStr">
        <is>
          <t>Post-condtion</t>
        </is>
      </c>
      <c r="G8" s="81" t="inlineStr">
        <is>
          <t>Result</t>
        </is>
      </c>
      <c r="H8" s="95" t="inlineStr">
        <is>
          <t>Test date</t>
        </is>
      </c>
      <c r="I8" s="95" t="inlineStr">
        <is>
          <t>Note</t>
        </is>
      </c>
      <c r="J8" s="39" t="n"/>
      <c r="K8" s="39" t="n"/>
      <c r="L8" s="39" t="n"/>
      <c r="M8" s="39" t="n"/>
      <c r="N8" s="39" t="n"/>
    </row>
    <row r="9" ht="70" customHeight="1">
      <c r="A9" s="127" t="inlineStr">
        <is>
          <t>[ITC-04]</t>
        </is>
      </c>
      <c r="B9" s="128" t="inlineStr">
        <is>
          <t>Tích hợp Gia hạn giờ thuê -&gt; Trừ ví -&gt; Nối tiếp CountdownTimer.
Kiểm tra tương tác ExtendRentalModal ↔ CountdownTimer ↔ AppContext và hàm calculateRefundAndExtension().</t>
        </is>
      </c>
      <c r="C9" s="128" t="inlineStr">
        <is>
          <t>Đơn hàng đang active, thời gian còn lại là 30 phút (1.800s), ví khách có 220.000 VNĐ.</t>
        </is>
      </c>
      <c r="D9" s="128" t="inlineStr">
        <is>
          <t>1. Tại thẻ đơn thuê trên MyRentalsPage, bấm 'Gia hạn thêm giờ'.
2. Chọn gia hạn thêm 1 giờ (15.000 VNĐ), bấm 'Xác Nhận Gia Hạn'.
3. Kiểm tra đồng hồ CountdownTimer và số dư ví.</t>
        </is>
      </c>
      <c r="E9" s="128" t="inlineStr">
        <is>
          <t>1. Ví khách bị trừ đúng 15.000 VNĐ (còn 205.000 VNĐ).
2. Mốc thời gian kết thúc expiresAt được cộng nối tiếp thêm 3.600 giây vào mốc thời gian cũ (không đè mốc Date.now(), Fixed BUG-IT-002).
3. Đồng hồ đếm ngược lập tức hiển thị 01:30:00 (1 giờ 30 phút), không làm gián đoạn phiên chơi.</t>
        </is>
      </c>
      <c r="F9" s="128" t="inlineStr">
        <is>
          <t>Thời gian chơi được gia hạn liền mạch; số dư ví cập nhật chính xác.</t>
        </is>
      </c>
      <c r="G9" s="114" t="inlineStr">
        <is>
          <t>Pass</t>
        </is>
      </c>
      <c r="H9" s="99" t="inlineStr">
        <is>
          <t>26/09/2026</t>
        </is>
      </c>
      <c r="I9" s="97" t="inlineStr">
        <is>
          <t>Đã tự động hóa trong integrationFlows.test.js ([ITC-04]).</t>
        </is>
      </c>
      <c r="J9" s="39" t="n"/>
      <c r="K9" s="39" t="n"/>
      <c r="L9" s="39" t="n"/>
      <c r="M9" s="39" t="n"/>
      <c r="N9" s="39" t="n"/>
    </row>
    <row r="10" ht="70" customHeight="1">
      <c r="A10" s="129" t="inlineStr">
        <is>
          <t>[ITC-07]</t>
        </is>
      </c>
      <c r="B10" s="130" t="inlineStr">
        <is>
          <t>Tích hợp Thu hồi tự động -&gt; Sinh pass ngẫu nhiên -&gt; Sẵn sàng cho thuê.
Kiểm tra tương tác CountdownTimer ↔ AutoResetEngine ↔ AppContext khi hết giờ.</t>
        </is>
      </c>
      <c r="C10" s="130" t="inlineStr">
        <is>
          <t>Đơn thuê đếm ngược về 00:00:00 (hết thời gian thuê).</t>
        </is>
      </c>
      <c r="D10" s="130" t="inlineStr">
        <is>
          <t>1. Chờ CountdownTimer đếm về 0 hoặc dùng công cụ Fast Forward tua hết giờ.
2. Quan sát phản ứng tự động của hệ thống và kiểm tra tài khoản game trong kho.</t>
        </is>
      </c>
      <c r="E10" s="130" t="inlineStr">
        <is>
          <t>1. Đơn hàng tự động chuyển trạng thái từ 'active' sang 'completed'.
2. Hàm generateSecurePassword() kích hoạt sinh mật khẩu ngẫu nhiên mới (đảm bảo khác mật khẩu cũ, Fixed BUG-IT-005).
3. Tài khoản game tự động chuyển về trạng thái 'available' sẵn sàng phục vụ khách hàng tiếp theo.</t>
        </is>
      </c>
      <c r="F10" s="130" t="inlineStr">
        <is>
          <t>Tài khoản game được bảo mật an toàn tuyệt đối, chu trình tự động hóa khép kín 24/7.</t>
        </is>
      </c>
      <c r="G10" s="114" t="inlineStr">
        <is>
          <t>Pass</t>
        </is>
      </c>
      <c r="H10" s="102" t="inlineStr">
        <is>
          <t>26/09/2026</t>
        </is>
      </c>
      <c r="I10" s="101" t="inlineStr">
        <is>
          <t>Đã kiểm thử tự động trong autoPasswordReset.test.js (10/10 Passed).</t>
        </is>
      </c>
      <c r="J10" s="39" t="n"/>
      <c r="K10" s="39" t="n"/>
      <c r="L10" s="39" t="n"/>
      <c r="M10" s="39" t="n"/>
      <c r="N10" s="39" t="n"/>
    </row>
    <row r="11">
      <c r="A11" s="39" t="n"/>
      <c r="B11" s="39" t="n"/>
      <c r="C11" s="39" t="n"/>
      <c r="D11" s="39" t="n"/>
      <c r="E11" s="39" t="n"/>
      <c r="F11" s="39" t="n"/>
      <c r="G11" s="39" t="n"/>
      <c r="H11" s="39" t="n"/>
      <c r="I11" s="39" t="n"/>
      <c r="J11" s="39" t="n"/>
      <c r="K11" s="39" t="n"/>
      <c r="L11" s="39" t="n"/>
      <c r="M11" s="39" t="n"/>
      <c r="N11" s="39" t="n"/>
    </row>
    <row r="12">
      <c r="A12" s="39" t="n"/>
      <c r="B12" s="39" t="n"/>
      <c r="C12" s="39" t="n"/>
      <c r="D12" s="39" t="n"/>
      <c r="E12" s="39" t="n"/>
      <c r="F12" s="39" t="n"/>
      <c r="G12" s="39" t="n"/>
      <c r="H12" s="39" t="n"/>
      <c r="I12" s="39" t="n"/>
      <c r="J12" s="39" t="n"/>
      <c r="K12" s="39" t="n"/>
      <c r="L12" s="39" t="n"/>
      <c r="M12" s="39" t="n"/>
      <c r="N12" s="39" t="n"/>
    </row>
    <row r="13">
      <c r="A13" s="39" t="n"/>
      <c r="B13" s="39" t="n"/>
      <c r="C13" s="39" t="n"/>
      <c r="D13" s="39" t="n"/>
      <c r="E13" s="39" t="n"/>
      <c r="F13" s="39" t="n"/>
      <c r="G13" s="39" t="n"/>
      <c r="H13" s="39" t="n"/>
      <c r="I13" s="39" t="n"/>
      <c r="J13" s="39" t="n"/>
      <c r="K13" s="39" t="n"/>
      <c r="L13" s="39" t="n"/>
      <c r="M13" s="39" t="n"/>
      <c r="N13" s="39" t="n"/>
    </row>
    <row r="14">
      <c r="A14" s="39" t="n"/>
      <c r="B14" s="39" t="n"/>
      <c r="C14" s="39" t="n"/>
      <c r="D14" s="39" t="n"/>
      <c r="E14" s="39" t="n"/>
      <c r="F14" s="39" t="n"/>
      <c r="G14" s="39" t="n"/>
      <c r="H14" s="39" t="n"/>
      <c r="I14" s="39" t="n"/>
      <c r="J14" s="39" t="n"/>
      <c r="K14" s="39" t="n"/>
      <c r="L14" s="39" t="n"/>
      <c r="M14" s="39" t="n"/>
      <c r="N14" s="39" t="n"/>
    </row>
    <row r="15">
      <c r="A15" s="39" t="n"/>
      <c r="B15" s="39" t="n"/>
      <c r="C15" s="39" t="n"/>
      <c r="D15" s="39" t="n"/>
      <c r="E15" s="39" t="n"/>
      <c r="F15" s="39" t="n"/>
      <c r="G15" s="39" t="n"/>
      <c r="H15" s="39" t="n"/>
      <c r="I15" s="39" t="n"/>
      <c r="J15" s="39" t="n"/>
      <c r="K15" s="39" t="n"/>
      <c r="L15" s="39" t="n"/>
      <c r="M15" s="39" t="n"/>
      <c r="N15" s="39" t="n"/>
    </row>
    <row r="16">
      <c r="A16" s="39" t="n"/>
      <c r="B16" s="39" t="n"/>
      <c r="C16" s="39" t="n"/>
      <c r="D16" s="39" t="n"/>
      <c r="E16" s="39" t="n"/>
      <c r="F16" s="39" t="n"/>
      <c r="G16" s="39" t="n"/>
      <c r="H16" s="39" t="n"/>
      <c r="I16" s="39" t="n"/>
      <c r="J16" s="39" t="n"/>
      <c r="K16" s="39" t="n"/>
      <c r="L16" s="39" t="n"/>
      <c r="M16" s="39" t="n"/>
      <c r="N16" s="39" t="n"/>
    </row>
    <row r="17">
      <c r="A17" s="39" t="n"/>
      <c r="B17" s="39" t="n"/>
      <c r="C17" s="39" t="n"/>
      <c r="D17" s="39" t="n"/>
      <c r="E17" s="39" t="n"/>
      <c r="F17" s="39" t="n"/>
      <c r="G17" s="39" t="n"/>
      <c r="H17" s="39" t="n"/>
      <c r="I17" s="39" t="n"/>
      <c r="J17" s="39" t="n"/>
      <c r="K17" s="39" t="n"/>
      <c r="L17" s="39" t="n"/>
      <c r="M17" s="39" t="n"/>
      <c r="N17" s="39" t="n"/>
    </row>
    <row r="18">
      <c r="A18" s="39" t="n"/>
      <c r="B18" s="39" t="n"/>
      <c r="C18" s="39" t="n"/>
      <c r="D18" s="39" t="n"/>
      <c r="E18" s="39" t="n"/>
      <c r="F18" s="39" t="n"/>
      <c r="G18" s="39" t="n"/>
      <c r="H18" s="39" t="n"/>
      <c r="I18" s="39" t="n"/>
      <c r="J18" s="39" t="n"/>
      <c r="K18" s="39" t="n"/>
      <c r="L18" s="39" t="n"/>
      <c r="M18" s="39" t="n"/>
      <c r="N18" s="39" t="n"/>
    </row>
    <row r="19">
      <c r="A19" s="39" t="n"/>
      <c r="B19" s="39" t="n"/>
      <c r="C19" s="39" t="n"/>
      <c r="D19" s="39" t="n"/>
      <c r="E19" s="39" t="n"/>
      <c r="F19" s="39" t="n"/>
      <c r="G19" s="39" t="n"/>
      <c r="H19" s="39" t="n"/>
      <c r="I19" s="39" t="n"/>
      <c r="J19" s="39" t="n"/>
      <c r="K19" s="39" t="n"/>
      <c r="L19" s="39" t="n"/>
      <c r="M19" s="39" t="n"/>
      <c r="N19" s="39" t="n"/>
    </row>
    <row r="20">
      <c r="A20" s="39" t="n"/>
      <c r="B20" s="39" t="n"/>
      <c r="C20" s="39" t="n"/>
      <c r="D20" s="39" t="n"/>
      <c r="E20" s="39" t="n"/>
      <c r="F20" s="39" t="n"/>
      <c r="G20" s="39" t="n"/>
      <c r="H20" s="39" t="n"/>
      <c r="I20" s="39" t="n"/>
      <c r="J20" s="39" t="n"/>
      <c r="K20" s="39" t="n"/>
      <c r="L20" s="39" t="n"/>
      <c r="M20" s="39" t="n"/>
      <c r="N20" s="39" t="n"/>
    </row>
    <row r="21">
      <c r="A21" s="39" t="n"/>
      <c r="B21" s="39" t="n"/>
      <c r="C21" s="39" t="n"/>
      <c r="D21" s="39" t="n"/>
      <c r="E21" s="39" t="n"/>
      <c r="F21" s="39" t="n"/>
      <c r="G21" s="39" t="n"/>
      <c r="H21" s="39" t="n"/>
      <c r="I21" s="39" t="n"/>
      <c r="J21" s="39" t="n"/>
      <c r="K21" s="39" t="n"/>
      <c r="L21" s="39" t="n"/>
      <c r="M21" s="39" t="n"/>
      <c r="N21" s="39" t="n"/>
    </row>
    <row r="22">
      <c r="A22" s="39" t="n"/>
      <c r="B22" s="39" t="n"/>
      <c r="C22" s="39" t="n"/>
      <c r="D22" s="39" t="n"/>
      <c r="E22" s="39" t="n"/>
      <c r="F22" s="39" t="n"/>
      <c r="G22" s="39" t="n"/>
      <c r="H22" s="39" t="n"/>
      <c r="I22" s="39" t="n"/>
      <c r="J22" s="39" t="n"/>
      <c r="K22" s="39" t="n"/>
      <c r="L22" s="39" t="n"/>
      <c r="M22" s="39" t="n"/>
      <c r="N22" s="39" t="n"/>
    </row>
    <row r="23">
      <c r="A23" s="39" t="n"/>
      <c r="B23" s="39" t="n"/>
      <c r="C23" s="39" t="n"/>
      <c r="D23" s="39" t="n"/>
      <c r="E23" s="39" t="n"/>
      <c r="F23" s="39" t="n"/>
      <c r="G23" s="39" t="n"/>
      <c r="H23" s="39" t="n"/>
      <c r="I23" s="39" t="n"/>
      <c r="J23" s="39" t="n"/>
      <c r="K23" s="39" t="n"/>
      <c r="L23" s="39" t="n"/>
      <c r="M23" s="39" t="n"/>
      <c r="N23" s="39" t="n"/>
    </row>
    <row r="24">
      <c r="A24" s="39" t="n"/>
      <c r="B24" s="39" t="n"/>
      <c r="C24" s="39" t="n"/>
      <c r="D24" s="39" t="n"/>
      <c r="E24" s="39" t="n"/>
      <c r="F24" s="39" t="n"/>
      <c r="G24" s="39" t="n"/>
      <c r="H24" s="39" t="n"/>
      <c r="I24" s="39" t="n"/>
      <c r="J24" s="39" t="n"/>
      <c r="K24" s="39" t="n"/>
      <c r="L24" s="39" t="n"/>
      <c r="M24" s="39" t="n"/>
      <c r="N24" s="39" t="n"/>
    </row>
    <row r="25">
      <c r="A25" s="39" t="n"/>
      <c r="B25" s="39" t="n"/>
      <c r="C25" s="39" t="n"/>
      <c r="D25" s="39" t="n"/>
      <c r="E25" s="39" t="n"/>
      <c r="F25" s="39" t="n"/>
      <c r="G25" s="39" t="n"/>
      <c r="H25" s="39" t="n"/>
      <c r="I25" s="39" t="n"/>
      <c r="J25" s="39" t="n"/>
      <c r="K25" s="39" t="n"/>
      <c r="L25" s="39" t="n"/>
      <c r="M25" s="39" t="n"/>
      <c r="N25" s="39" t="n"/>
    </row>
    <row r="26">
      <c r="A26" s="39" t="n"/>
      <c r="B26" s="39" t="n"/>
      <c r="C26" s="39" t="n"/>
      <c r="D26" s="39" t="n"/>
      <c r="E26" s="39" t="n"/>
      <c r="F26" s="39" t="n"/>
      <c r="G26" s="39" t="n"/>
      <c r="H26" s="39" t="n"/>
      <c r="I26" s="39" t="n"/>
      <c r="J26" s="39" t="n"/>
      <c r="K26" s="39" t="n"/>
      <c r="L26" s="39" t="n"/>
      <c r="M26" s="39" t="n"/>
      <c r="N26" s="39" t="n"/>
    </row>
    <row r="27">
      <c r="A27" s="39" t="n"/>
      <c r="B27" s="39" t="n"/>
      <c r="C27" s="39" t="n"/>
      <c r="D27" s="39" t="n"/>
      <c r="E27" s="39" t="n"/>
      <c r="F27" s="39" t="n"/>
      <c r="G27" s="39" t="n"/>
      <c r="H27" s="39" t="n"/>
      <c r="I27" s="39" t="n"/>
      <c r="J27" s="39" t="n"/>
      <c r="K27" s="39" t="n"/>
      <c r="L27" s="39" t="n"/>
      <c r="M27" s="39" t="n"/>
      <c r="N27" s="39" t="n"/>
    </row>
    <row r="28">
      <c r="A28" s="39" t="n"/>
      <c r="B28" s="39" t="n"/>
      <c r="C28" s="39" t="n"/>
      <c r="D28" s="39" t="n"/>
      <c r="E28" s="39" t="n"/>
      <c r="F28" s="39" t="n"/>
      <c r="G28" s="39" t="n"/>
      <c r="H28" s="39" t="n"/>
      <c r="I28" s="39" t="n"/>
      <c r="J28" s="39" t="n"/>
      <c r="K28" s="39" t="n"/>
      <c r="L28" s="39" t="n"/>
      <c r="M28" s="39" t="n"/>
      <c r="N28" s="39" t="n"/>
    </row>
    <row r="29">
      <c r="A29" s="39" t="n"/>
      <c r="B29" s="39" t="n"/>
      <c r="C29" s="39" t="n"/>
      <c r="D29" s="39" t="n"/>
      <c r="E29" s="39" t="n"/>
      <c r="F29" s="39" t="n"/>
      <c r="G29" s="39" t="n"/>
      <c r="H29" s="39" t="n"/>
      <c r="I29" s="39" t="n"/>
      <c r="J29" s="39" t="n"/>
      <c r="K29" s="39" t="n"/>
      <c r="L29" s="39" t="n"/>
      <c r="M29" s="39" t="n"/>
      <c r="N29" s="39" t="n"/>
    </row>
  </sheetData>
  <mergeCells count="5">
    <mergeCell ref="B4:F4"/>
    <mergeCell ref="E6:F6"/>
    <mergeCell ref="B2:F2"/>
    <mergeCell ref="B3:F3"/>
    <mergeCell ref="E5:F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9"/>
  <sheetViews>
    <sheetView showGridLines="1" workbookViewId="0">
      <selection activeCell="A1" sqref="A1"/>
    </sheetView>
  </sheetViews>
  <sheetFormatPr baseColWidth="8" defaultRowHeight="15"/>
  <cols>
    <col width="12" customWidth="1" min="1" max="1"/>
    <col width="32" customWidth="1" min="2" max="2"/>
    <col width="28" customWidth="1" min="3" max="3"/>
    <col width="48" customWidth="1" min="4" max="4"/>
    <col width="48" customWidth="1" min="5" max="5"/>
    <col width="32" customWidth="1" min="6" max="6"/>
    <col width="12" customWidth="1" min="7" max="7"/>
    <col width="14" customWidth="1" min="8" max="8"/>
    <col width="26" customWidth="1" min="9" max="9"/>
  </cols>
  <sheetData>
    <row r="1">
      <c r="A1" s="39" t="n"/>
      <c r="B1" s="39" t="n"/>
      <c r="C1" s="39" t="n"/>
      <c r="D1" s="39" t="n"/>
      <c r="E1" s="39" t="n"/>
      <c r="F1" s="39" t="n"/>
      <c r="G1" s="39" t="n"/>
      <c r="H1" s="39" t="n"/>
      <c r="I1" s="39" t="n"/>
      <c r="J1" s="39" t="n"/>
      <c r="K1" s="39" t="n"/>
      <c r="L1" s="39" t="n"/>
      <c r="M1" s="39" t="n"/>
      <c r="N1" s="39" t="n"/>
    </row>
    <row r="2" ht="28" customHeight="1">
      <c r="A2" s="121" t="inlineStr">
        <is>
          <t>Module Code</t>
        </is>
      </c>
      <c r="B2" s="91" t="inlineStr">
        <is>
          <t>IT_REFUND_DISPUTE</t>
        </is>
      </c>
      <c r="G2" s="39" t="n"/>
      <c r="H2" s="39" t="n"/>
      <c r="I2" s="39" t="n"/>
      <c r="J2" s="39" t="n"/>
      <c r="K2" s="39" t="n"/>
      <c r="L2" s="39" t="n"/>
      <c r="M2" s="39" t="n"/>
      <c r="N2" s="39" t="n"/>
    </row>
    <row r="3" ht="23" customHeight="1">
      <c r="A3" s="90" t="inlineStr">
        <is>
          <t>Test requirement</t>
        </is>
      </c>
      <c r="B3" s="91" t="inlineStr">
        <is>
          <t>Kiểm thử tích hợp hai luồng hoàn tiền: Trả nick sớm hoàn 50% thời gian thừa và Khách báo lỗi in-game được Admin phê duyệt hoàn bảo hiểm 100%.</t>
        </is>
      </c>
      <c r="G3" s="39" t="n"/>
      <c r="H3" s="39" t="n"/>
      <c r="I3" s="39" t="n"/>
      <c r="J3" s="39" t="n"/>
      <c r="K3" s="39" t="n"/>
      <c r="L3" s="39" t="n"/>
      <c r="M3" s="39" t="n"/>
      <c r="N3" s="39" t="n"/>
    </row>
    <row r="4" ht="23" customHeight="1">
      <c r="A4" s="122" t="inlineStr">
        <is>
          <t>Tester</t>
        </is>
      </c>
      <c r="B4" s="91" t="inlineStr">
        <is>
          <t>Nhóm 15 (Lê Xuân Đạt, Lê Minh Quân)</t>
        </is>
      </c>
      <c r="D4" s="123" t="n"/>
      <c r="E4" s="124" t="n"/>
      <c r="G4" s="39" t="n"/>
      <c r="H4" s="39" t="n"/>
      <c r="I4" s="39" t="n"/>
      <c r="J4" s="39" t="n"/>
      <c r="K4" s="39" t="n"/>
      <c r="L4" s="39" t="n"/>
      <c r="M4" s="39" t="n"/>
      <c r="N4" s="39" t="n"/>
    </row>
    <row r="5" ht="24" customHeight="1">
      <c r="A5" s="81" t="inlineStr">
        <is>
          <t>Pass</t>
        </is>
      </c>
      <c r="B5" s="81" t="inlineStr">
        <is>
          <t>Fail</t>
        </is>
      </c>
      <c r="C5" s="92" t="inlineStr">
        <is>
          <t>Untested</t>
        </is>
      </c>
      <c r="D5" s="92" t="inlineStr">
        <is>
          <t>N/A</t>
        </is>
      </c>
      <c r="E5" s="92" t="inlineStr">
        <is>
          <t>Number of Test cases</t>
        </is>
      </c>
      <c r="F5" s="125" t="n"/>
      <c r="G5" s="39" t="n"/>
      <c r="H5" s="39" t="n"/>
      <c r="I5" s="39" t="n"/>
      <c r="J5" s="39" t="n"/>
      <c r="K5" s="39" t="n"/>
      <c r="L5" s="39" t="n"/>
      <c r="M5" s="39" t="n"/>
      <c r="N5" s="39" t="n"/>
    </row>
    <row r="6" ht="24" customHeight="1">
      <c r="A6" s="114">
        <f>COUNTIF(G9:G100,"Pass")</f>
        <v/>
      </c>
      <c r="B6" s="126">
        <f>COUNTIF(G9:G100,"Fail")</f>
        <v/>
      </c>
      <c r="C6" s="94">
        <f>E6-D6-B6-A6</f>
        <v/>
      </c>
      <c r="D6" s="94">
        <f>COUNTIF(G9:G100,"N/A")</f>
        <v/>
      </c>
      <c r="E6" s="94">
        <f>COUNTA(A9:A100)</f>
        <v/>
      </c>
      <c r="F6" s="125" t="n"/>
      <c r="G6" s="39" t="n"/>
      <c r="H6" s="39" t="n"/>
      <c r="I6" s="39" t="n"/>
      <c r="J6" s="39" t="n"/>
      <c r="K6" s="39" t="n"/>
      <c r="L6" s="39" t="n"/>
      <c r="M6" s="39" t="n"/>
      <c r="N6" s="39" t="n"/>
    </row>
    <row r="7">
      <c r="A7" s="39" t="n"/>
      <c r="B7" s="39" t="n"/>
      <c r="C7" s="39" t="n"/>
      <c r="D7" s="39" t="n"/>
      <c r="E7" s="39" t="n"/>
      <c r="F7" s="39" t="n"/>
      <c r="G7" s="39" t="n"/>
      <c r="H7" s="39" t="n"/>
      <c r="I7" s="39" t="n"/>
      <c r="J7" s="39" t="n"/>
      <c r="K7" s="39" t="n"/>
      <c r="L7" s="39" t="n"/>
      <c r="M7" s="39" t="n"/>
      <c r="N7" s="39" t="n"/>
    </row>
    <row r="8" ht="28" customHeight="1">
      <c r="A8" s="81" t="inlineStr">
        <is>
          <t>ID</t>
        </is>
      </c>
      <c r="B8" s="81" t="inlineStr">
        <is>
          <t>Test Case Description</t>
        </is>
      </c>
      <c r="C8" s="81" t="inlineStr">
        <is>
          <t>Pre-condition</t>
        </is>
      </c>
      <c r="D8" s="81" t="inlineStr">
        <is>
          <t>Test Steps</t>
        </is>
      </c>
      <c r="E8" s="81" t="inlineStr">
        <is>
          <t>Expected Output</t>
        </is>
      </c>
      <c r="F8" s="81" t="inlineStr">
        <is>
          <t>Post-condtion</t>
        </is>
      </c>
      <c r="G8" s="81" t="inlineStr">
        <is>
          <t>Result</t>
        </is>
      </c>
      <c r="H8" s="95" t="inlineStr">
        <is>
          <t>Test date</t>
        </is>
      </c>
      <c r="I8" s="95" t="inlineStr">
        <is>
          <t>Note</t>
        </is>
      </c>
      <c r="J8" s="39" t="n"/>
      <c r="K8" s="39" t="n"/>
      <c r="L8" s="39" t="n"/>
      <c r="M8" s="39" t="n"/>
      <c r="N8" s="39" t="n"/>
    </row>
    <row r="9" ht="70" customHeight="1">
      <c r="A9" s="127" t="inlineStr">
        <is>
          <t>[ITC-05]</t>
        </is>
      </c>
      <c r="B9" s="128" t="inlineStr">
        <is>
          <t>Tích hợp Khách báo lỗi -&gt; Admin duyệt -&gt; Hoàn tiền 100% -&gt; Khóa acc vào diện bảo trì.
Kiểm tra tương tác DisputeModal ↔ OverviewDashboard ↔ AppContext.</t>
        </is>
      </c>
      <c r="C9" s="128" t="inlineStr">
        <is>
          <t>Khách hàng thuê acc gặp sự cố sai mật khẩu, số dư ví hiện tại là 20.000 VNĐ.</t>
        </is>
      </c>
      <c r="D9" s="128" t="inlineStr">
        <is>
          <t>1. Khách hàng gửi khiếu nại tại DisputeModal với lý do 'Sai mật khẩu in-game'.
2. Admin mở OverviewDashboard (tab Khiếu nại sự cố) và bấm 'Phê duyệt hoàn tiền 100%'.
3. Kiểm tra biến động ví khách hàng và trạng thái tài khoản game.</t>
        </is>
      </c>
      <c r="E9" s="128" t="inlineStr">
        <is>
          <t>1. Đơn thuê chuyển trạng thái từ 'disputed' sang 'refunded'.
2. Số dư ví khách hàng được cộng lại đầy đủ 100% tiền đơn thuê (Fixed BUG-IT-003).
3. Tài khoản game tự động đổi sang trạng thái 'maintenance' để kỹ thuật kiểm tra, không cho khách khác thuê.</t>
        </is>
      </c>
      <c r="F9" s="128" t="inlineStr">
        <is>
          <t>Khách hàng nhận lại tiền 100%; tài khoản lỗi được cách ly an toàn.</t>
        </is>
      </c>
      <c r="G9" s="114" t="inlineStr">
        <is>
          <t>Pass</t>
        </is>
      </c>
      <c r="H9" s="99" t="inlineStr">
        <is>
          <t>26/09/2026</t>
        </is>
      </c>
      <c r="I9" s="97" t="inlineStr">
        <is>
          <t>Đã tự động hóa trong integrationFlows.test.js ([ITC-05]).</t>
        </is>
      </c>
      <c r="J9" s="39" t="n"/>
      <c r="K9" s="39" t="n"/>
      <c r="L9" s="39" t="n"/>
      <c r="M9" s="39" t="n"/>
      <c r="N9" s="39" t="n"/>
    </row>
    <row r="10" ht="88" customHeight="1">
      <c r="A10" s="129" t="inlineStr">
        <is>
          <t>[ITC-06]</t>
        </is>
      </c>
      <c r="B10" s="130" t="inlineStr">
        <is>
          <t>Tích hợp Trả nick sớm -&gt; Hoàn 50% tiền thừa -&gt; Chuyển đổi trạng thái đổi pass.
Kiểm tra tương tác ReturnEarlyModal ↔ MyRentalsPage ↔ AppContext.</t>
        </is>
      </c>
      <c r="C10" s="130" t="inlineStr">
        <is>
          <t>Đơn thuê 3 giờ (45.000 VNĐ), khách mới chơi 1 giờ (thời gian thừa 2 giờ), ví khách có 50.000 VNĐ.</t>
        </is>
      </c>
      <c r="D10" s="130" t="inlineStr">
        <is>
          <t>1. Khách bấm 'Trả Nick Sớm' tại ReturnEarlyModal.
2. Hệ thống tính toán hoàn 50% tiền 2h thừa: 2 x 15.000 x 50% = 15.000 VNĐ.
3. Khách bấm 'Xác Nhận Trả Sớm'.
4. Kiểm tra cập nhật ví và trạng thái tài khoản.</t>
        </is>
      </c>
      <c r="E10" s="130" t="inlineStr">
        <is>
          <t>1. Ví khách hàng được cộng thêm đúng 15.000 VNĐ (lên 65.000 VNĐ).
2. Đơn thuê chuyển sang trạng thái 'completed' (Đã trả sớm).
3. Tài khoản game lập tức chuyển sang trạng thái 'need_change_pass' (Fixed BUG-IT-004).</t>
        </is>
      </c>
      <c r="F10" s="130" t="inlineStr">
        <is>
          <t>Khách hàng nhận đủ tiền hoàn; acc được thu hồi để reset mật khẩu.</t>
        </is>
      </c>
      <c r="G10" s="114" t="inlineStr">
        <is>
          <t>Pass</t>
        </is>
      </c>
      <c r="H10" s="102" t="inlineStr">
        <is>
          <t>26/09/2026</t>
        </is>
      </c>
      <c r="I10" s="101" t="inlineStr">
        <is>
          <t>Đã kiểm thử tự động trong refund.test.js (8/8 Passed).</t>
        </is>
      </c>
      <c r="J10" s="39" t="n"/>
      <c r="K10" s="39" t="n"/>
      <c r="L10" s="39" t="n"/>
      <c r="M10" s="39" t="n"/>
      <c r="N10" s="39" t="n"/>
    </row>
    <row r="11">
      <c r="A11" s="39" t="n"/>
      <c r="B11" s="39" t="n"/>
      <c r="C11" s="39" t="n"/>
      <c r="D11" s="39" t="n"/>
      <c r="E11" s="39" t="n"/>
      <c r="F11" s="39" t="n"/>
      <c r="G11" s="39" t="n"/>
      <c r="H11" s="39" t="n"/>
      <c r="I11" s="39" t="n"/>
      <c r="J11" s="39" t="n"/>
      <c r="K11" s="39" t="n"/>
      <c r="L11" s="39" t="n"/>
      <c r="M11" s="39" t="n"/>
      <c r="N11" s="39" t="n"/>
    </row>
    <row r="12">
      <c r="A12" s="39" t="n"/>
      <c r="B12" s="39" t="n"/>
      <c r="C12" s="39" t="n"/>
      <c r="D12" s="39" t="n"/>
      <c r="E12" s="39" t="n"/>
      <c r="F12" s="39" t="n"/>
      <c r="G12" s="39" t="n"/>
      <c r="H12" s="39" t="n"/>
      <c r="I12" s="39" t="n"/>
      <c r="J12" s="39" t="n"/>
      <c r="K12" s="39" t="n"/>
      <c r="L12" s="39" t="n"/>
      <c r="M12" s="39" t="n"/>
      <c r="N12" s="39" t="n"/>
    </row>
    <row r="13">
      <c r="A13" s="39" t="n"/>
      <c r="B13" s="39" t="n"/>
      <c r="C13" s="39" t="n"/>
      <c r="D13" s="39" t="n"/>
      <c r="E13" s="39" t="n"/>
      <c r="F13" s="39" t="n"/>
      <c r="G13" s="39" t="n"/>
      <c r="H13" s="39" t="n"/>
      <c r="I13" s="39" t="n"/>
      <c r="J13" s="39" t="n"/>
      <c r="K13" s="39" t="n"/>
      <c r="L13" s="39" t="n"/>
      <c r="M13" s="39" t="n"/>
      <c r="N13" s="39" t="n"/>
    </row>
    <row r="14">
      <c r="A14" s="39" t="n"/>
      <c r="B14" s="39" t="n"/>
      <c r="C14" s="39" t="n"/>
      <c r="D14" s="39" t="n"/>
      <c r="E14" s="39" t="n"/>
      <c r="F14" s="39" t="n"/>
      <c r="G14" s="39" t="n"/>
      <c r="H14" s="39" t="n"/>
      <c r="I14" s="39" t="n"/>
      <c r="J14" s="39" t="n"/>
      <c r="K14" s="39" t="n"/>
      <c r="L14" s="39" t="n"/>
      <c r="M14" s="39" t="n"/>
      <c r="N14" s="39" t="n"/>
    </row>
    <row r="15">
      <c r="A15" s="39" t="n"/>
      <c r="B15" s="39" t="n"/>
      <c r="C15" s="39" t="n"/>
      <c r="D15" s="39" t="n"/>
      <c r="E15" s="39" t="n"/>
      <c r="F15" s="39" t="n"/>
      <c r="G15" s="39" t="n"/>
      <c r="H15" s="39" t="n"/>
      <c r="I15" s="39" t="n"/>
      <c r="J15" s="39" t="n"/>
      <c r="K15" s="39" t="n"/>
      <c r="L15" s="39" t="n"/>
      <c r="M15" s="39" t="n"/>
      <c r="N15" s="39" t="n"/>
    </row>
    <row r="16">
      <c r="A16" s="39" t="n"/>
      <c r="B16" s="39" t="n"/>
      <c r="C16" s="39" t="n"/>
      <c r="D16" s="39" t="n"/>
      <c r="E16" s="39" t="n"/>
      <c r="F16" s="39" t="n"/>
      <c r="G16" s="39" t="n"/>
      <c r="H16" s="39" t="n"/>
      <c r="I16" s="39" t="n"/>
      <c r="J16" s="39" t="n"/>
      <c r="K16" s="39" t="n"/>
      <c r="L16" s="39" t="n"/>
      <c r="M16" s="39" t="n"/>
      <c r="N16" s="39" t="n"/>
    </row>
    <row r="17">
      <c r="A17" s="39" t="n"/>
      <c r="B17" s="39" t="n"/>
      <c r="C17" s="39" t="n"/>
      <c r="D17" s="39" t="n"/>
      <c r="E17" s="39" t="n"/>
      <c r="F17" s="39" t="n"/>
      <c r="G17" s="39" t="n"/>
      <c r="H17" s="39" t="n"/>
      <c r="I17" s="39" t="n"/>
      <c r="J17" s="39" t="n"/>
      <c r="K17" s="39" t="n"/>
      <c r="L17" s="39" t="n"/>
      <c r="M17" s="39" t="n"/>
      <c r="N17" s="39" t="n"/>
    </row>
    <row r="18">
      <c r="A18" s="39" t="n"/>
      <c r="B18" s="39" t="n"/>
      <c r="C18" s="39" t="n"/>
      <c r="D18" s="39" t="n"/>
      <c r="E18" s="39" t="n"/>
      <c r="F18" s="39" t="n"/>
      <c r="G18" s="39" t="n"/>
      <c r="H18" s="39" t="n"/>
      <c r="I18" s="39" t="n"/>
      <c r="J18" s="39" t="n"/>
      <c r="K18" s="39" t="n"/>
      <c r="L18" s="39" t="n"/>
      <c r="M18" s="39" t="n"/>
      <c r="N18" s="39" t="n"/>
    </row>
    <row r="19">
      <c r="A19" s="39" t="n"/>
      <c r="B19" s="39" t="n"/>
      <c r="C19" s="39" t="n"/>
      <c r="D19" s="39" t="n"/>
      <c r="E19" s="39" t="n"/>
      <c r="F19" s="39" t="n"/>
      <c r="G19" s="39" t="n"/>
      <c r="H19" s="39" t="n"/>
      <c r="I19" s="39" t="n"/>
      <c r="J19" s="39" t="n"/>
      <c r="K19" s="39" t="n"/>
      <c r="L19" s="39" t="n"/>
      <c r="M19" s="39" t="n"/>
      <c r="N19" s="39" t="n"/>
    </row>
    <row r="20">
      <c r="A20" s="39" t="n"/>
      <c r="B20" s="39" t="n"/>
      <c r="C20" s="39" t="n"/>
      <c r="D20" s="39" t="n"/>
      <c r="E20" s="39" t="n"/>
      <c r="F20" s="39" t="n"/>
      <c r="G20" s="39" t="n"/>
      <c r="H20" s="39" t="n"/>
      <c r="I20" s="39" t="n"/>
      <c r="J20" s="39" t="n"/>
      <c r="K20" s="39" t="n"/>
      <c r="L20" s="39" t="n"/>
      <c r="M20" s="39" t="n"/>
      <c r="N20" s="39" t="n"/>
    </row>
    <row r="21">
      <c r="A21" s="39" t="n"/>
      <c r="B21" s="39" t="n"/>
      <c r="C21" s="39" t="n"/>
      <c r="D21" s="39" t="n"/>
      <c r="E21" s="39" t="n"/>
      <c r="F21" s="39" t="n"/>
      <c r="G21" s="39" t="n"/>
      <c r="H21" s="39" t="n"/>
      <c r="I21" s="39" t="n"/>
      <c r="J21" s="39" t="n"/>
      <c r="K21" s="39" t="n"/>
      <c r="L21" s="39" t="n"/>
      <c r="M21" s="39" t="n"/>
      <c r="N21" s="39" t="n"/>
    </row>
    <row r="22">
      <c r="A22" s="39" t="n"/>
      <c r="B22" s="39" t="n"/>
      <c r="C22" s="39" t="n"/>
      <c r="D22" s="39" t="n"/>
      <c r="E22" s="39" t="n"/>
      <c r="F22" s="39" t="n"/>
      <c r="G22" s="39" t="n"/>
      <c r="H22" s="39" t="n"/>
      <c r="I22" s="39" t="n"/>
      <c r="J22" s="39" t="n"/>
      <c r="K22" s="39" t="n"/>
      <c r="L22" s="39" t="n"/>
      <c r="M22" s="39" t="n"/>
      <c r="N22" s="39" t="n"/>
    </row>
    <row r="23">
      <c r="A23" s="39" t="n"/>
      <c r="B23" s="39" t="n"/>
      <c r="C23" s="39" t="n"/>
      <c r="D23" s="39" t="n"/>
      <c r="E23" s="39" t="n"/>
      <c r="F23" s="39" t="n"/>
      <c r="G23" s="39" t="n"/>
      <c r="H23" s="39" t="n"/>
      <c r="I23" s="39" t="n"/>
      <c r="J23" s="39" t="n"/>
      <c r="K23" s="39" t="n"/>
      <c r="L23" s="39" t="n"/>
      <c r="M23" s="39" t="n"/>
      <c r="N23" s="39" t="n"/>
    </row>
    <row r="24">
      <c r="A24" s="39" t="n"/>
      <c r="B24" s="39" t="n"/>
      <c r="C24" s="39" t="n"/>
      <c r="D24" s="39" t="n"/>
      <c r="E24" s="39" t="n"/>
      <c r="F24" s="39" t="n"/>
      <c r="G24" s="39" t="n"/>
      <c r="H24" s="39" t="n"/>
      <c r="I24" s="39" t="n"/>
      <c r="J24" s="39" t="n"/>
      <c r="K24" s="39" t="n"/>
      <c r="L24" s="39" t="n"/>
      <c r="M24" s="39" t="n"/>
      <c r="N24" s="39" t="n"/>
    </row>
    <row r="25">
      <c r="A25" s="39" t="n"/>
      <c r="B25" s="39" t="n"/>
      <c r="C25" s="39" t="n"/>
      <c r="D25" s="39" t="n"/>
      <c r="E25" s="39" t="n"/>
      <c r="F25" s="39" t="n"/>
      <c r="G25" s="39" t="n"/>
      <c r="H25" s="39" t="n"/>
      <c r="I25" s="39" t="n"/>
      <c r="J25" s="39" t="n"/>
      <c r="K25" s="39" t="n"/>
      <c r="L25" s="39" t="n"/>
      <c r="M25" s="39" t="n"/>
      <c r="N25" s="39" t="n"/>
    </row>
    <row r="26">
      <c r="A26" s="39" t="n"/>
      <c r="B26" s="39" t="n"/>
      <c r="C26" s="39" t="n"/>
      <c r="D26" s="39" t="n"/>
      <c r="E26" s="39" t="n"/>
      <c r="F26" s="39" t="n"/>
      <c r="G26" s="39" t="n"/>
      <c r="H26" s="39" t="n"/>
      <c r="I26" s="39" t="n"/>
      <c r="J26" s="39" t="n"/>
      <c r="K26" s="39" t="n"/>
      <c r="L26" s="39" t="n"/>
      <c r="M26" s="39" t="n"/>
      <c r="N26" s="39" t="n"/>
    </row>
    <row r="27">
      <c r="A27" s="39" t="n"/>
      <c r="B27" s="39" t="n"/>
      <c r="C27" s="39" t="n"/>
      <c r="D27" s="39" t="n"/>
      <c r="E27" s="39" t="n"/>
      <c r="F27" s="39" t="n"/>
      <c r="G27" s="39" t="n"/>
      <c r="H27" s="39" t="n"/>
      <c r="I27" s="39" t="n"/>
      <c r="J27" s="39" t="n"/>
      <c r="K27" s="39" t="n"/>
      <c r="L27" s="39" t="n"/>
      <c r="M27" s="39" t="n"/>
      <c r="N27" s="39" t="n"/>
    </row>
    <row r="28">
      <c r="A28" s="39" t="n"/>
      <c r="B28" s="39" t="n"/>
      <c r="C28" s="39" t="n"/>
      <c r="D28" s="39" t="n"/>
      <c r="E28" s="39" t="n"/>
      <c r="F28" s="39" t="n"/>
      <c r="G28" s="39" t="n"/>
      <c r="H28" s="39" t="n"/>
      <c r="I28" s="39" t="n"/>
      <c r="J28" s="39" t="n"/>
      <c r="K28" s="39" t="n"/>
      <c r="L28" s="39" t="n"/>
      <c r="M28" s="39" t="n"/>
      <c r="N28" s="39" t="n"/>
    </row>
    <row r="29">
      <c r="A29" s="39" t="n"/>
      <c r="B29" s="39" t="n"/>
      <c r="C29" s="39" t="n"/>
      <c r="D29" s="39" t="n"/>
      <c r="E29" s="39" t="n"/>
      <c r="F29" s="39" t="n"/>
      <c r="G29" s="39" t="n"/>
      <c r="H29" s="39" t="n"/>
      <c r="I29" s="39" t="n"/>
      <c r="J29" s="39" t="n"/>
      <c r="K29" s="39" t="n"/>
      <c r="L29" s="39" t="n"/>
      <c r="M29" s="39" t="n"/>
      <c r="N29" s="39" t="n"/>
    </row>
  </sheetData>
  <mergeCells count="5">
    <mergeCell ref="B4:F4"/>
    <mergeCell ref="E6:F6"/>
    <mergeCell ref="B2:F2"/>
    <mergeCell ref="B3:F3"/>
    <mergeCell ref="E5:F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9"/>
  <sheetViews>
    <sheetView showGridLines="1" workbookViewId="0">
      <selection activeCell="A1" sqref="A1"/>
    </sheetView>
  </sheetViews>
  <sheetFormatPr baseColWidth="8" defaultRowHeight="15"/>
  <cols>
    <col width="12" customWidth="1" min="1" max="1"/>
    <col width="32" customWidth="1" min="2" max="2"/>
    <col width="28" customWidth="1" min="3" max="3"/>
    <col width="48" customWidth="1" min="4" max="4"/>
    <col width="48" customWidth="1" min="5" max="5"/>
    <col width="32" customWidth="1" min="6" max="6"/>
    <col width="12" customWidth="1" min="7" max="7"/>
    <col width="14" customWidth="1" min="8" max="8"/>
    <col width="26" customWidth="1" min="9" max="9"/>
  </cols>
  <sheetData>
    <row r="1">
      <c r="A1" s="39" t="n"/>
      <c r="B1" s="39" t="n"/>
      <c r="C1" s="39" t="n"/>
      <c r="D1" s="39" t="n"/>
      <c r="E1" s="39" t="n"/>
      <c r="F1" s="39" t="n"/>
      <c r="G1" s="39" t="n"/>
      <c r="H1" s="39" t="n"/>
      <c r="I1" s="39" t="n"/>
      <c r="J1" s="39" t="n"/>
      <c r="K1" s="39" t="n"/>
      <c r="L1" s="39" t="n"/>
      <c r="M1" s="39" t="n"/>
      <c r="N1" s="39" t="n"/>
    </row>
    <row r="2" ht="28" customHeight="1">
      <c r="A2" s="121" t="inlineStr">
        <is>
          <t>Module Code</t>
        </is>
      </c>
      <c r="B2" s="91" t="inlineStr">
        <is>
          <t>IT_FAV_SEP</t>
        </is>
      </c>
      <c r="G2" s="39" t="n"/>
      <c r="H2" s="39" t="n"/>
      <c r="I2" s="39" t="n"/>
      <c r="J2" s="39" t="n"/>
      <c r="K2" s="39" t="n"/>
      <c r="L2" s="39" t="n"/>
      <c r="M2" s="39" t="n"/>
      <c r="N2" s="39" t="n"/>
    </row>
    <row r="3" ht="23" customHeight="1">
      <c r="A3" s="90" t="inlineStr">
        <is>
          <t>Test requirement</t>
        </is>
      </c>
      <c r="B3" s="91" t="inlineStr">
        <is>
          <t>Kiểm thử tích hợp cơ chế phân tách dữ liệu yêu thích (Favorites) độc lập theo định danh người dùng trong LocalStorage.</t>
        </is>
      </c>
      <c r="G3" s="39" t="n"/>
      <c r="H3" s="39" t="n"/>
      <c r="I3" s="39" t="n"/>
      <c r="J3" s="39" t="n"/>
      <c r="K3" s="39" t="n"/>
      <c r="L3" s="39" t="n"/>
      <c r="M3" s="39" t="n"/>
      <c r="N3" s="39" t="n"/>
    </row>
    <row r="4" ht="23" customHeight="1">
      <c r="A4" s="122" t="inlineStr">
        <is>
          <t>Tester</t>
        </is>
      </c>
      <c r="B4" s="91" t="inlineStr">
        <is>
          <t>Nhóm 15 (Lê Hải Đăng, Lê Xuân Đạt)</t>
        </is>
      </c>
      <c r="D4" s="123" t="n"/>
      <c r="E4" s="124" t="n"/>
      <c r="G4" s="39" t="n"/>
      <c r="H4" s="39" t="n"/>
      <c r="I4" s="39" t="n"/>
      <c r="J4" s="39" t="n"/>
      <c r="K4" s="39" t="n"/>
      <c r="L4" s="39" t="n"/>
      <c r="M4" s="39" t="n"/>
      <c r="N4" s="39" t="n"/>
    </row>
    <row r="5" ht="24" customHeight="1">
      <c r="A5" s="81" t="inlineStr">
        <is>
          <t>Pass</t>
        </is>
      </c>
      <c r="B5" s="81" t="inlineStr">
        <is>
          <t>Fail</t>
        </is>
      </c>
      <c r="C5" s="92" t="inlineStr">
        <is>
          <t>Untested</t>
        </is>
      </c>
      <c r="D5" s="92" t="inlineStr">
        <is>
          <t>N/A</t>
        </is>
      </c>
      <c r="E5" s="92" t="inlineStr">
        <is>
          <t>Number of Test cases</t>
        </is>
      </c>
      <c r="F5" s="125" t="n"/>
      <c r="G5" s="39" t="n"/>
      <c r="H5" s="39" t="n"/>
      <c r="I5" s="39" t="n"/>
      <c r="J5" s="39" t="n"/>
      <c r="K5" s="39" t="n"/>
      <c r="L5" s="39" t="n"/>
      <c r="M5" s="39" t="n"/>
      <c r="N5" s="39" t="n"/>
    </row>
    <row r="6" ht="24" customHeight="1">
      <c r="A6" s="114">
        <f>COUNTIF(G9:G100,"Pass")</f>
        <v/>
      </c>
      <c r="B6" s="126">
        <f>COUNTIF(G9:G100,"Fail")</f>
        <v/>
      </c>
      <c r="C6" s="94">
        <f>E6-D6-B6-A6</f>
        <v/>
      </c>
      <c r="D6" s="94">
        <f>COUNTIF(G9:G100,"N/A")</f>
        <v/>
      </c>
      <c r="E6" s="94">
        <f>COUNTA(A9:A100)</f>
        <v/>
      </c>
      <c r="F6" s="125" t="n"/>
      <c r="G6" s="39" t="n"/>
      <c r="H6" s="39" t="n"/>
      <c r="I6" s="39" t="n"/>
      <c r="J6" s="39" t="n"/>
      <c r="K6" s="39" t="n"/>
      <c r="L6" s="39" t="n"/>
      <c r="M6" s="39" t="n"/>
      <c r="N6" s="39" t="n"/>
    </row>
    <row r="7">
      <c r="A7" s="39" t="n"/>
      <c r="B7" s="39" t="n"/>
      <c r="C7" s="39" t="n"/>
      <c r="D7" s="39" t="n"/>
      <c r="E7" s="39" t="n"/>
      <c r="F7" s="39" t="n"/>
      <c r="G7" s="39" t="n"/>
      <c r="H7" s="39" t="n"/>
      <c r="I7" s="39" t="n"/>
      <c r="J7" s="39" t="n"/>
      <c r="K7" s="39" t="n"/>
      <c r="L7" s="39" t="n"/>
      <c r="M7" s="39" t="n"/>
      <c r="N7" s="39" t="n"/>
    </row>
    <row r="8" ht="28" customHeight="1">
      <c r="A8" s="81" t="inlineStr">
        <is>
          <t>ID</t>
        </is>
      </c>
      <c r="B8" s="81" t="inlineStr">
        <is>
          <t>Test Case Description</t>
        </is>
      </c>
      <c r="C8" s="81" t="inlineStr">
        <is>
          <t>Pre-condition</t>
        </is>
      </c>
      <c r="D8" s="81" t="inlineStr">
        <is>
          <t>Test Steps</t>
        </is>
      </c>
      <c r="E8" s="81" t="inlineStr">
        <is>
          <t>Expected Output</t>
        </is>
      </c>
      <c r="F8" s="81" t="inlineStr">
        <is>
          <t>Post-condtion</t>
        </is>
      </c>
      <c r="G8" s="81" t="inlineStr">
        <is>
          <t>Result</t>
        </is>
      </c>
      <c r="H8" s="95" t="inlineStr">
        <is>
          <t>Test date</t>
        </is>
      </c>
      <c r="I8" s="95" t="inlineStr">
        <is>
          <t>Note</t>
        </is>
      </c>
      <c r="J8" s="39" t="n"/>
      <c r="K8" s="39" t="n"/>
      <c r="L8" s="39" t="n"/>
      <c r="M8" s="39" t="n"/>
      <c r="N8" s="39" t="n"/>
    </row>
    <row r="9" ht="70" customHeight="1">
      <c r="A9" s="127" t="inlineStr">
        <is>
          <t>[ITC-09]</t>
        </is>
      </c>
      <c r="B9" s="128" t="inlineStr">
        <is>
          <t>Tích hợp Phân tách danh sách Yêu thích độc lập theo từng tài khoản.
Kiểm tra tương tác FavoriteButton ↔ LocalStorage ↔ AppContext.</t>
        </is>
      </c>
      <c r="C9" s="128" t="inlineStr">
        <is>
          <t>Hai tài khoản 'renter01' và 'admin' cùng sử dụng chung một trình duyệt web.</t>
        </is>
      </c>
      <c r="D9" s="128" t="inlineStr">
        <is>
          <t>1. Đăng nhập tài khoản 'renter01', nhấn thả tim lưu tài khoản ACC01 và ACC02.
2. Đăng xuất, sau đó đăng nhập tài khoản 'admin', nhấn thả tim lưu tài khoản ACC03.
3. Đăng xuất và đăng nhập lại bằng tài khoản 'renter01'.</t>
        </is>
      </c>
      <c r="E9" s="128" t="inlineStr">
        <is>
          <t>1. LocalStorage lưu 2 key tách biệt: gamerent_favorites_renter01 và gamerent_favorites_admin.
2. Khi 'renter01' đăng nhập, chỉ thấy ACC01 và ACC02 trong danh sách yêu thích, không có ACC03.
3. Không xảy ra hiện tượng ghi đè hoặc lộ thông tin quan tâm giữa các tài khoản người dùng khác nhau.</t>
        </is>
      </c>
      <c r="F9" s="128" t="inlineStr">
        <is>
          <t>Dữ liệu cá nhân hóa của từng người dùng được bảo vệ độc lập tuyệt đối.</t>
        </is>
      </c>
      <c r="G9" s="114" t="inlineStr">
        <is>
          <t>Pass</t>
        </is>
      </c>
      <c r="H9" s="99" t="inlineStr">
        <is>
          <t>26/09/2026</t>
        </is>
      </c>
      <c r="I9" s="97" t="inlineStr">
        <is>
          <t>Đã kiểm thử tự động trong favoritesSeparation.test.js (5/5 Passed).</t>
        </is>
      </c>
      <c r="J9" s="39" t="n"/>
      <c r="K9" s="39" t="n"/>
      <c r="L9" s="39" t="n"/>
      <c r="M9" s="39" t="n"/>
      <c r="N9" s="39" t="n"/>
    </row>
    <row r="10">
      <c r="A10" s="39" t="n"/>
      <c r="B10" s="39" t="n"/>
      <c r="C10" s="39" t="n"/>
      <c r="D10" s="39" t="n"/>
      <c r="E10" s="39" t="n"/>
      <c r="F10" s="39" t="n"/>
      <c r="G10" s="39" t="n"/>
      <c r="H10" s="39" t="n"/>
      <c r="I10" s="39" t="n"/>
      <c r="J10" s="39" t="n"/>
      <c r="K10" s="39" t="n"/>
      <c r="L10" s="39" t="n"/>
      <c r="M10" s="39" t="n"/>
      <c r="N10" s="39" t="n"/>
    </row>
    <row r="11">
      <c r="A11" s="39" t="n"/>
      <c r="B11" s="39" t="n"/>
      <c r="C11" s="39" t="n"/>
      <c r="D11" s="39" t="n"/>
      <c r="E11" s="39" t="n"/>
      <c r="F11" s="39" t="n"/>
      <c r="G11" s="39" t="n"/>
      <c r="H11" s="39" t="n"/>
      <c r="I11" s="39" t="n"/>
      <c r="J11" s="39" t="n"/>
      <c r="K11" s="39" t="n"/>
      <c r="L11" s="39" t="n"/>
      <c r="M11" s="39" t="n"/>
      <c r="N11" s="39" t="n"/>
    </row>
    <row r="12">
      <c r="A12" s="39" t="n"/>
      <c r="B12" s="39" t="n"/>
      <c r="C12" s="39" t="n"/>
      <c r="D12" s="39" t="n"/>
      <c r="E12" s="39" t="n"/>
      <c r="F12" s="39" t="n"/>
      <c r="G12" s="39" t="n"/>
      <c r="H12" s="39" t="n"/>
      <c r="I12" s="39" t="n"/>
      <c r="J12" s="39" t="n"/>
      <c r="K12" s="39" t="n"/>
      <c r="L12" s="39" t="n"/>
      <c r="M12" s="39" t="n"/>
      <c r="N12" s="39" t="n"/>
    </row>
    <row r="13">
      <c r="A13" s="39" t="n"/>
      <c r="B13" s="39" t="n"/>
      <c r="C13" s="39" t="n"/>
      <c r="D13" s="39" t="n"/>
      <c r="E13" s="39" t="n"/>
      <c r="F13" s="39" t="n"/>
      <c r="G13" s="39" t="n"/>
      <c r="H13" s="39" t="n"/>
      <c r="I13" s="39" t="n"/>
      <c r="J13" s="39" t="n"/>
      <c r="K13" s="39" t="n"/>
      <c r="L13" s="39" t="n"/>
      <c r="M13" s="39" t="n"/>
      <c r="N13" s="39" t="n"/>
    </row>
    <row r="14">
      <c r="A14" s="39" t="n"/>
      <c r="B14" s="39" t="n"/>
      <c r="C14" s="39" t="n"/>
      <c r="D14" s="39" t="n"/>
      <c r="E14" s="39" t="n"/>
      <c r="F14" s="39" t="n"/>
      <c r="G14" s="39" t="n"/>
      <c r="H14" s="39" t="n"/>
      <c r="I14" s="39" t="n"/>
      <c r="J14" s="39" t="n"/>
      <c r="K14" s="39" t="n"/>
      <c r="L14" s="39" t="n"/>
      <c r="M14" s="39" t="n"/>
      <c r="N14" s="39" t="n"/>
    </row>
    <row r="15">
      <c r="A15" s="39" t="n"/>
      <c r="B15" s="39" t="n"/>
      <c r="C15" s="39" t="n"/>
      <c r="D15" s="39" t="n"/>
      <c r="E15" s="39" t="n"/>
      <c r="F15" s="39" t="n"/>
      <c r="G15" s="39" t="n"/>
      <c r="H15" s="39" t="n"/>
      <c r="I15" s="39" t="n"/>
      <c r="J15" s="39" t="n"/>
      <c r="K15" s="39" t="n"/>
      <c r="L15" s="39" t="n"/>
      <c r="M15" s="39" t="n"/>
      <c r="N15" s="39" t="n"/>
    </row>
    <row r="16">
      <c r="A16" s="39" t="n"/>
      <c r="B16" s="39" t="n"/>
      <c r="C16" s="39" t="n"/>
      <c r="D16" s="39" t="n"/>
      <c r="E16" s="39" t="n"/>
      <c r="F16" s="39" t="n"/>
      <c r="G16" s="39" t="n"/>
      <c r="H16" s="39" t="n"/>
      <c r="I16" s="39" t="n"/>
      <c r="J16" s="39" t="n"/>
      <c r="K16" s="39" t="n"/>
      <c r="L16" s="39" t="n"/>
      <c r="M16" s="39" t="n"/>
      <c r="N16" s="39" t="n"/>
    </row>
    <row r="17">
      <c r="A17" s="39" t="n"/>
      <c r="B17" s="39" t="n"/>
      <c r="C17" s="39" t="n"/>
      <c r="D17" s="39" t="n"/>
      <c r="E17" s="39" t="n"/>
      <c r="F17" s="39" t="n"/>
      <c r="G17" s="39" t="n"/>
      <c r="H17" s="39" t="n"/>
      <c r="I17" s="39" t="n"/>
      <c r="J17" s="39" t="n"/>
      <c r="K17" s="39" t="n"/>
      <c r="L17" s="39" t="n"/>
      <c r="M17" s="39" t="n"/>
      <c r="N17" s="39" t="n"/>
    </row>
    <row r="18">
      <c r="A18" s="39" t="n"/>
      <c r="B18" s="39" t="n"/>
      <c r="C18" s="39" t="n"/>
      <c r="D18" s="39" t="n"/>
      <c r="E18" s="39" t="n"/>
      <c r="F18" s="39" t="n"/>
      <c r="G18" s="39" t="n"/>
      <c r="H18" s="39" t="n"/>
      <c r="I18" s="39" t="n"/>
      <c r="J18" s="39" t="n"/>
      <c r="K18" s="39" t="n"/>
      <c r="L18" s="39" t="n"/>
      <c r="M18" s="39" t="n"/>
      <c r="N18" s="39" t="n"/>
    </row>
    <row r="19">
      <c r="A19" s="39" t="n"/>
      <c r="B19" s="39" t="n"/>
      <c r="C19" s="39" t="n"/>
      <c r="D19" s="39" t="n"/>
      <c r="E19" s="39" t="n"/>
      <c r="F19" s="39" t="n"/>
      <c r="G19" s="39" t="n"/>
      <c r="H19" s="39" t="n"/>
      <c r="I19" s="39" t="n"/>
      <c r="J19" s="39" t="n"/>
      <c r="K19" s="39" t="n"/>
      <c r="L19" s="39" t="n"/>
      <c r="M19" s="39" t="n"/>
      <c r="N19" s="39" t="n"/>
    </row>
    <row r="20">
      <c r="A20" s="39" t="n"/>
      <c r="B20" s="39" t="n"/>
      <c r="C20" s="39" t="n"/>
      <c r="D20" s="39" t="n"/>
      <c r="E20" s="39" t="n"/>
      <c r="F20" s="39" t="n"/>
      <c r="G20" s="39" t="n"/>
      <c r="H20" s="39" t="n"/>
      <c r="I20" s="39" t="n"/>
      <c r="J20" s="39" t="n"/>
      <c r="K20" s="39" t="n"/>
      <c r="L20" s="39" t="n"/>
      <c r="M20" s="39" t="n"/>
      <c r="N20" s="39" t="n"/>
    </row>
    <row r="21">
      <c r="A21" s="39" t="n"/>
      <c r="B21" s="39" t="n"/>
      <c r="C21" s="39" t="n"/>
      <c r="D21" s="39" t="n"/>
      <c r="E21" s="39" t="n"/>
      <c r="F21" s="39" t="n"/>
      <c r="G21" s="39" t="n"/>
      <c r="H21" s="39" t="n"/>
      <c r="I21" s="39" t="n"/>
      <c r="J21" s="39" t="n"/>
      <c r="K21" s="39" t="n"/>
      <c r="L21" s="39" t="n"/>
      <c r="M21" s="39" t="n"/>
      <c r="N21" s="39" t="n"/>
    </row>
    <row r="22">
      <c r="A22" s="39" t="n"/>
      <c r="B22" s="39" t="n"/>
      <c r="C22" s="39" t="n"/>
      <c r="D22" s="39" t="n"/>
      <c r="E22" s="39" t="n"/>
      <c r="F22" s="39" t="n"/>
      <c r="G22" s="39" t="n"/>
      <c r="H22" s="39" t="n"/>
      <c r="I22" s="39" t="n"/>
      <c r="J22" s="39" t="n"/>
      <c r="K22" s="39" t="n"/>
      <c r="L22" s="39" t="n"/>
      <c r="M22" s="39" t="n"/>
      <c r="N22" s="39" t="n"/>
    </row>
    <row r="23">
      <c r="A23" s="39" t="n"/>
      <c r="B23" s="39" t="n"/>
      <c r="C23" s="39" t="n"/>
      <c r="D23" s="39" t="n"/>
      <c r="E23" s="39" t="n"/>
      <c r="F23" s="39" t="n"/>
      <c r="G23" s="39" t="n"/>
      <c r="H23" s="39" t="n"/>
      <c r="I23" s="39" t="n"/>
      <c r="J23" s="39" t="n"/>
      <c r="K23" s="39" t="n"/>
      <c r="L23" s="39" t="n"/>
      <c r="M23" s="39" t="n"/>
      <c r="N23" s="39" t="n"/>
    </row>
    <row r="24">
      <c r="A24" s="39" t="n"/>
      <c r="B24" s="39" t="n"/>
      <c r="C24" s="39" t="n"/>
      <c r="D24" s="39" t="n"/>
      <c r="E24" s="39" t="n"/>
      <c r="F24" s="39" t="n"/>
      <c r="G24" s="39" t="n"/>
      <c r="H24" s="39" t="n"/>
      <c r="I24" s="39" t="n"/>
      <c r="J24" s="39" t="n"/>
      <c r="K24" s="39" t="n"/>
      <c r="L24" s="39" t="n"/>
      <c r="M24" s="39" t="n"/>
      <c r="N24" s="39" t="n"/>
    </row>
    <row r="25">
      <c r="A25" s="39" t="n"/>
      <c r="B25" s="39" t="n"/>
      <c r="C25" s="39" t="n"/>
      <c r="D25" s="39" t="n"/>
      <c r="E25" s="39" t="n"/>
      <c r="F25" s="39" t="n"/>
      <c r="G25" s="39" t="n"/>
      <c r="H25" s="39" t="n"/>
      <c r="I25" s="39" t="n"/>
      <c r="J25" s="39" t="n"/>
      <c r="K25" s="39" t="n"/>
      <c r="L25" s="39" t="n"/>
      <c r="M25" s="39" t="n"/>
      <c r="N25" s="39" t="n"/>
    </row>
    <row r="26">
      <c r="A26" s="39" t="n"/>
      <c r="B26" s="39" t="n"/>
      <c r="C26" s="39" t="n"/>
      <c r="D26" s="39" t="n"/>
      <c r="E26" s="39" t="n"/>
      <c r="F26" s="39" t="n"/>
      <c r="G26" s="39" t="n"/>
      <c r="H26" s="39" t="n"/>
      <c r="I26" s="39" t="n"/>
      <c r="J26" s="39" t="n"/>
      <c r="K26" s="39" t="n"/>
      <c r="L26" s="39" t="n"/>
      <c r="M26" s="39" t="n"/>
      <c r="N26" s="39" t="n"/>
    </row>
    <row r="27">
      <c r="A27" s="39" t="n"/>
      <c r="B27" s="39" t="n"/>
      <c r="C27" s="39" t="n"/>
      <c r="D27" s="39" t="n"/>
      <c r="E27" s="39" t="n"/>
      <c r="F27" s="39" t="n"/>
      <c r="G27" s="39" t="n"/>
      <c r="H27" s="39" t="n"/>
      <c r="I27" s="39" t="n"/>
      <c r="J27" s="39" t="n"/>
      <c r="K27" s="39" t="n"/>
      <c r="L27" s="39" t="n"/>
      <c r="M27" s="39" t="n"/>
      <c r="N27" s="39" t="n"/>
    </row>
    <row r="28">
      <c r="A28" s="39" t="n"/>
      <c r="B28" s="39" t="n"/>
      <c r="C28" s="39" t="n"/>
      <c r="D28" s="39" t="n"/>
      <c r="E28" s="39" t="n"/>
      <c r="F28" s="39" t="n"/>
      <c r="G28" s="39" t="n"/>
      <c r="H28" s="39" t="n"/>
      <c r="I28" s="39" t="n"/>
      <c r="J28" s="39" t="n"/>
      <c r="K28" s="39" t="n"/>
      <c r="L28" s="39" t="n"/>
      <c r="M28" s="39" t="n"/>
      <c r="N28" s="39" t="n"/>
    </row>
    <row r="29">
      <c r="A29" s="39" t="n"/>
      <c r="B29" s="39" t="n"/>
      <c r="C29" s="39" t="n"/>
      <c r="D29" s="39" t="n"/>
      <c r="E29" s="39" t="n"/>
      <c r="F29" s="39" t="n"/>
      <c r="G29" s="39" t="n"/>
      <c r="H29" s="39" t="n"/>
      <c r="I29" s="39" t="n"/>
      <c r="J29" s="39" t="n"/>
      <c r="K29" s="39" t="n"/>
      <c r="L29" s="39" t="n"/>
      <c r="M29" s="39" t="n"/>
      <c r="N29" s="39" t="n"/>
    </row>
  </sheetData>
  <mergeCells count="5">
    <mergeCell ref="B4:F4"/>
    <mergeCell ref="E6:F6"/>
    <mergeCell ref="B2:F2"/>
    <mergeCell ref="B3:F3"/>
    <mergeCell ref="E5:F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4"/>
  <sheetViews>
    <sheetView showGridLines="1" workbookViewId="0">
      <selection activeCell="A1" sqref="A1"/>
    </sheetView>
  </sheetViews>
  <sheetFormatPr baseColWidth="8" defaultRowHeight="15"/>
  <cols>
    <col width="6" customWidth="1" min="1" max="1"/>
    <col width="6" customWidth="1" min="2" max="2"/>
    <col width="25" customWidth="1" min="3" max="3"/>
    <col width="12" customWidth="1" min="4" max="4"/>
    <col width="12" customWidth="1" min="5" max="5"/>
    <col width="12" customWidth="1" min="6" max="6"/>
    <col width="12" customWidth="1" min="7" max="7"/>
    <col width="22" customWidth="1" min="8" max="8"/>
    <col width="4" customWidth="1" min="9" max="9"/>
    <col width="14" customWidth="1" min="10" max="10"/>
    <col width="10" customWidth="1" min="11" max="11"/>
  </cols>
  <sheetData>
    <row r="1" ht="30" customHeight="1">
      <c r="A1" s="39" t="n"/>
      <c r="B1" s="103" t="inlineStr">
        <is>
          <t>BÁO CÁO KẾT QUẢ KIỂM THỬ TÍCH HỢP (INTEGRATION TEST REPORT)</t>
        </is>
      </c>
      <c r="I1" s="39" t="n"/>
      <c r="J1" s="39" t="n"/>
      <c r="K1" s="39" t="n"/>
      <c r="L1" s="39" t="n"/>
      <c r="M1" s="39" t="n"/>
      <c r="N1" s="39" t="n"/>
    </row>
    <row r="2" ht="28" customHeight="1">
      <c r="A2" s="131" t="n"/>
      <c r="B2" s="39" t="n"/>
      <c r="C2" s="39" t="n"/>
      <c r="D2" s="39" t="n"/>
      <c r="E2" s="39" t="n"/>
      <c r="F2" s="39" t="n"/>
      <c r="G2" s="39" t="n"/>
      <c r="H2" s="39" t="n"/>
      <c r="I2" s="39" t="n"/>
      <c r="J2" s="39" t="n"/>
      <c r="K2" s="39" t="n"/>
      <c r="L2" s="39" t="n"/>
      <c r="M2" s="39" t="n"/>
      <c r="N2" s="39" t="n"/>
    </row>
    <row r="3">
      <c r="A3" s="39" t="n"/>
      <c r="B3" s="57" t="inlineStr">
        <is>
          <t>Project Name</t>
        </is>
      </c>
      <c r="C3" s="48">
        <f>Cover!C4</f>
        <v/>
      </c>
      <c r="E3" s="57" t="inlineStr">
        <is>
          <t>Creator</t>
        </is>
      </c>
      <c r="G3" s="39">
        <f>Cover!G4</f>
        <v/>
      </c>
      <c r="H3" s="39" t="n"/>
      <c r="I3" s="39" t="n"/>
      <c r="J3" s="39" t="n"/>
      <c r="K3" s="39" t="n"/>
      <c r="L3" s="39" t="n"/>
      <c r="M3" s="39" t="n"/>
      <c r="N3" s="39" t="n"/>
    </row>
    <row r="4" ht="26" customHeight="1">
      <c r="A4" s="81" t="n"/>
      <c r="B4" s="81" t="inlineStr">
        <is>
          <t>Project Code</t>
        </is>
      </c>
      <c r="C4" s="81">
        <f>Cover!C5</f>
        <v/>
      </c>
      <c r="D4" s="81" t="n"/>
      <c r="E4" s="81" t="inlineStr">
        <is>
          <t>Reviewer/Approver</t>
        </is>
      </c>
      <c r="F4" s="81" t="n"/>
      <c r="G4" s="81">
        <f>Cover!G5</f>
        <v/>
      </c>
      <c r="H4" s="81" t="n"/>
      <c r="I4" s="81" t="n"/>
      <c r="J4" s="39" t="n"/>
      <c r="K4" s="39" t="n"/>
      <c r="L4" s="39" t="n"/>
      <c r="M4" s="39" t="n"/>
      <c r="N4" s="39" t="n"/>
    </row>
    <row r="5">
      <c r="A5" s="57" t="n"/>
      <c r="B5" s="57" t="inlineStr">
        <is>
          <t>Document Code</t>
        </is>
      </c>
      <c r="C5" s="48">
        <f>C4&amp;"_"&amp;"Test Report"&amp;"_"&amp;"v1.0"</f>
        <v/>
      </c>
      <c r="E5" s="57" t="inlineStr">
        <is>
          <t>Issue Date</t>
        </is>
      </c>
      <c r="G5" s="39" t="n"/>
      <c r="H5" s="39" t="inlineStr">
        <is>
          <t>26/09/2026</t>
        </is>
      </c>
      <c r="I5" s="39" t="n"/>
      <c r="J5" s="39" t="n"/>
      <c r="K5" s="39" t="n"/>
      <c r="L5" s="39" t="n"/>
      <c r="M5" s="39" t="n"/>
      <c r="N5" s="39" t="n"/>
    </row>
    <row r="6">
      <c r="A6" s="57" t="n"/>
      <c r="B6" s="57" t="inlineStr">
        <is>
          <t>Notes</t>
        </is>
      </c>
      <c r="C6" s="48" t="inlineStr">
        <is>
          <t>Báo cáo tổng hợp kết quả thực thi 10 kịch bản Kiểm thử tích hợp (ITC-01 đến ITC-10) theo chiến lược Sandwich bao phủ 6 phân hệ cốt lõi của dự án GameRent.</t>
        </is>
      </c>
      <c r="I6" s="39" t="n"/>
      <c r="J6" s="39" t="n"/>
      <c r="K6" s="39" t="n"/>
      <c r="L6" s="39" t="n"/>
      <c r="M6" s="39" t="n"/>
      <c r="N6" s="39" t="n"/>
    </row>
    <row r="7">
      <c r="A7" s="57" t="n"/>
      <c r="B7" s="58" t="n"/>
      <c r="C7" s="39" t="n"/>
      <c r="D7" s="39" t="n"/>
      <c r="E7" s="39" t="n"/>
      <c r="F7" s="39" t="n"/>
      <c r="G7" s="39" t="n"/>
      <c r="H7" s="39" t="n"/>
      <c r="I7" s="39" t="n"/>
      <c r="J7" s="39" t="n"/>
      <c r="K7" s="39" t="n"/>
      <c r="L7" s="39" t="n"/>
      <c r="M7" s="39" t="n"/>
      <c r="N7" s="39" t="n"/>
    </row>
    <row r="8">
      <c r="A8" s="39" t="n"/>
      <c r="B8" s="39" t="n"/>
      <c r="C8" s="39" t="n"/>
      <c r="D8" s="39" t="n"/>
      <c r="E8" s="39" t="n"/>
      <c r="F8" s="39" t="n"/>
      <c r="G8" s="39" t="n"/>
      <c r="H8" s="39" t="n"/>
      <c r="I8" s="39" t="n"/>
      <c r="J8" s="39" t="n"/>
      <c r="K8" s="39" t="n"/>
      <c r="L8" s="39" t="n"/>
      <c r="M8" s="39" t="n"/>
      <c r="N8" s="39" t="n"/>
    </row>
    <row r="9">
      <c r="A9" s="39" t="n"/>
      <c r="B9" s="39" t="n"/>
      <c r="C9" s="39" t="n"/>
      <c r="D9" s="39" t="n"/>
      <c r="E9" s="39" t="n"/>
      <c r="F9" s="39" t="n"/>
      <c r="G9" s="39" t="n"/>
      <c r="H9" s="39" t="n"/>
      <c r="I9" s="39" t="n"/>
      <c r="J9" s="39" t="n"/>
      <c r="K9" s="39" t="n"/>
      <c r="L9" s="39" t="n"/>
      <c r="M9" s="39" t="n"/>
      <c r="N9" s="39" t="n"/>
    </row>
    <row r="10" ht="28" customHeight="1">
      <c r="A10" s="59" t="n"/>
      <c r="B10" s="81" t="inlineStr">
        <is>
          <t>No</t>
        </is>
      </c>
      <c r="C10" s="81" t="inlineStr">
        <is>
          <t>Module code</t>
        </is>
      </c>
      <c r="D10" s="81" t="inlineStr">
        <is>
          <t>Pass</t>
        </is>
      </c>
      <c r="E10" s="81" t="inlineStr">
        <is>
          <t>Fail</t>
        </is>
      </c>
      <c r="F10" s="81" t="inlineStr">
        <is>
          <t>Untested</t>
        </is>
      </c>
      <c r="G10" s="81" t="inlineStr">
        <is>
          <t>N/A</t>
        </is>
      </c>
      <c r="H10" s="81" t="inlineStr">
        <is>
          <t>Number of test cases</t>
        </is>
      </c>
      <c r="I10" s="39" t="n"/>
      <c r="J10" s="39" t="n"/>
      <c r="K10" s="39" t="n"/>
      <c r="L10" s="39" t="n"/>
      <c r="M10" s="39" t="n"/>
      <c r="N10" s="39" t="n"/>
    </row>
    <row r="11" ht="23" customHeight="1">
      <c r="A11" s="61" t="n"/>
      <c r="B11" s="104" t="n">
        <v>1</v>
      </c>
      <c r="C11" s="105">
        <f>'IT_AUTH_SYNC'!B2</f>
        <v/>
      </c>
      <c r="D11" s="104">
        <f>'IT_AUTH_SYNC'!A6</f>
        <v/>
      </c>
      <c r="E11" s="104">
        <f>'IT_AUTH_SYNC'!B6</f>
        <v/>
      </c>
      <c r="F11" s="104">
        <f>'IT_AUTH_SYNC'!C6</f>
        <v/>
      </c>
      <c r="G11" s="104">
        <f>'IT_AUTH_SYNC'!D6</f>
        <v/>
      </c>
      <c r="H11" s="106">
        <f>'IT_AUTH_SYNC'!E6</f>
        <v/>
      </c>
      <c r="I11" s="39" t="n"/>
      <c r="J11" s="39" t="n"/>
      <c r="K11" s="39" t="n"/>
      <c r="L11" s="39" t="n"/>
      <c r="M11" s="39" t="n"/>
      <c r="N11" s="39" t="n"/>
    </row>
    <row r="12" ht="23" customHeight="1">
      <c r="A12" s="61" t="n"/>
      <c r="B12" s="107" t="n">
        <v>2</v>
      </c>
      <c r="C12" s="108">
        <f>'IT_WALLET_FLOW'!B2</f>
        <v/>
      </c>
      <c r="D12" s="107">
        <f>'IT_WALLET_FLOW'!A6</f>
        <v/>
      </c>
      <c r="E12" s="107">
        <f>'IT_WALLET_FLOW'!B6</f>
        <v/>
      </c>
      <c r="F12" s="107">
        <f>'IT_WALLET_FLOW'!C6</f>
        <v/>
      </c>
      <c r="G12" s="107">
        <f>'IT_WALLET_FLOW'!D6</f>
        <v/>
      </c>
      <c r="H12" s="109">
        <f>'IT_WALLET_FLOW'!E6</f>
        <v/>
      </c>
      <c r="I12" s="39" t="n"/>
      <c r="J12" s="39" t="n"/>
      <c r="K12" s="39" t="n"/>
      <c r="L12" s="39" t="n"/>
      <c r="M12" s="39" t="n"/>
      <c r="N12" s="39" t="n"/>
    </row>
    <row r="13" ht="23" customHeight="1">
      <c r="A13" s="61" t="n"/>
      <c r="B13" s="104" t="n">
        <v>3</v>
      </c>
      <c r="C13" s="105">
        <f>'IT_RENT_DELIVER'!B2</f>
        <v/>
      </c>
      <c r="D13" s="104">
        <f>'IT_RENT_DELIVER'!A6</f>
        <v/>
      </c>
      <c r="E13" s="104">
        <f>'IT_RENT_DELIVER'!B6</f>
        <v/>
      </c>
      <c r="F13" s="104">
        <f>'IT_RENT_DELIVER'!C6</f>
        <v/>
      </c>
      <c r="G13" s="104">
        <f>'IT_RENT_DELIVER'!D6</f>
        <v/>
      </c>
      <c r="H13" s="106">
        <f>'IT_RENT_DELIVER'!E6</f>
        <v/>
      </c>
      <c r="I13" s="39" t="n"/>
      <c r="J13" s="39" t="n"/>
      <c r="K13" s="39" t="n"/>
      <c r="L13" s="39" t="n"/>
      <c r="M13" s="39" t="n"/>
      <c r="N13" s="39" t="n"/>
    </row>
    <row r="14" ht="23" customHeight="1">
      <c r="A14" s="61" t="n"/>
      <c r="B14" s="107" t="n">
        <v>4</v>
      </c>
      <c r="C14" s="108">
        <f>'IT_TIMER_EXT'!B2</f>
        <v/>
      </c>
      <c r="D14" s="107">
        <f>'IT_TIMER_EXT'!A6</f>
        <v/>
      </c>
      <c r="E14" s="107">
        <f>'IT_TIMER_EXT'!B6</f>
        <v/>
      </c>
      <c r="F14" s="107">
        <f>'IT_TIMER_EXT'!C6</f>
        <v/>
      </c>
      <c r="G14" s="107">
        <f>'IT_TIMER_EXT'!D6</f>
        <v/>
      </c>
      <c r="H14" s="109">
        <f>'IT_TIMER_EXT'!E6</f>
        <v/>
      </c>
      <c r="I14" s="39" t="n"/>
      <c r="J14" s="39" t="n"/>
      <c r="K14" s="39" t="n"/>
      <c r="L14" s="39" t="n"/>
      <c r="M14" s="39" t="n"/>
      <c r="N14" s="39" t="n"/>
    </row>
    <row r="15" ht="23" customHeight="1">
      <c r="A15" s="61" t="n"/>
      <c r="B15" s="104" t="n">
        <v>5</v>
      </c>
      <c r="C15" s="105">
        <f>'IT_REFUND_DISPUTE'!B2</f>
        <v/>
      </c>
      <c r="D15" s="104">
        <f>'IT_REFUND_DISPUTE'!A6</f>
        <v/>
      </c>
      <c r="E15" s="104">
        <f>'IT_REFUND_DISPUTE'!B6</f>
        <v/>
      </c>
      <c r="F15" s="104">
        <f>'IT_REFUND_DISPUTE'!C6</f>
        <v/>
      </c>
      <c r="G15" s="104">
        <f>'IT_REFUND_DISPUTE'!D6</f>
        <v/>
      </c>
      <c r="H15" s="106">
        <f>'IT_REFUND_DISPUTE'!E6</f>
        <v/>
      </c>
      <c r="I15" s="39" t="n"/>
      <c r="J15" s="39" t="n"/>
      <c r="K15" s="39" t="n"/>
      <c r="L15" s="39" t="n"/>
      <c r="M15" s="39" t="n"/>
      <c r="N15" s="39" t="n"/>
    </row>
    <row r="16" ht="23" customHeight="1">
      <c r="A16" s="39" t="n"/>
      <c r="B16" s="107" t="n">
        <v>6</v>
      </c>
      <c r="C16" s="108">
        <f>'IT_FAV_SEP'!B2</f>
        <v/>
      </c>
      <c r="D16" s="107">
        <f>'IT_FAV_SEP'!A6</f>
        <v/>
      </c>
      <c r="E16" s="107">
        <f>'IT_FAV_SEP'!B6</f>
        <v/>
      </c>
      <c r="F16" s="107">
        <f>'IT_FAV_SEP'!C6</f>
        <v/>
      </c>
      <c r="G16" s="107">
        <f>'IT_FAV_SEP'!D6</f>
        <v/>
      </c>
      <c r="H16" s="109">
        <f>'IT_FAV_SEP'!E6</f>
        <v/>
      </c>
      <c r="I16" s="39" t="n"/>
      <c r="J16" s="39" t="n"/>
      <c r="K16" s="39" t="n"/>
      <c r="L16" s="39" t="n"/>
      <c r="M16" s="39" t="n"/>
      <c r="N16" s="39" t="n"/>
    </row>
    <row r="17" ht="25" customHeight="1">
      <c r="A17" s="39" t="n"/>
      <c r="B17" s="110" t="inlineStr"/>
      <c r="C17" s="111" t="inlineStr">
        <is>
          <t>Sub total</t>
        </is>
      </c>
      <c r="D17" s="110">
        <f>SUM(D11:D16)</f>
        <v/>
      </c>
      <c r="E17" s="110">
        <f>SUM(E11:E16)</f>
        <v/>
      </c>
      <c r="F17" s="110">
        <f>SUM(F11:F16)</f>
        <v/>
      </c>
      <c r="G17" s="110">
        <f>SUM(G11:G16)</f>
        <v/>
      </c>
      <c r="H17" s="110">
        <f>SUM(H11:H16)</f>
        <v/>
      </c>
      <c r="I17" s="39" t="n"/>
      <c r="J17" s="39" t="n"/>
      <c r="K17" s="39" t="n"/>
      <c r="L17" s="39" t="n"/>
      <c r="M17" s="39" t="n"/>
      <c r="N17" s="39" t="n"/>
    </row>
    <row r="18">
      <c r="A18" s="39" t="n"/>
      <c r="B18" s="67" t="n"/>
      <c r="C18" s="39" t="n"/>
      <c r="D18" s="68" t="n"/>
      <c r="E18" s="39" t="n"/>
      <c r="F18" s="39" t="n"/>
      <c r="G18" s="39" t="n"/>
      <c r="H18" s="39" t="n"/>
      <c r="I18" s="39" t="n"/>
      <c r="J18" s="39" t="n"/>
      <c r="K18" s="39" t="n"/>
      <c r="L18" s="39" t="n"/>
      <c r="M18" s="39" t="n"/>
      <c r="N18" s="39" t="n"/>
    </row>
    <row r="19">
      <c r="A19" s="39" t="n"/>
      <c r="B19" s="67" t="n"/>
      <c r="C19" s="57" t="inlineStr">
        <is>
          <t>Test coverage</t>
        </is>
      </c>
      <c r="D19" s="68" t="n"/>
      <c r="E19" s="69">
        <f>(D17+E17)*100/(H17-G17)</f>
        <v/>
      </c>
      <c r="F19" s="57" t="inlineStr">
        <is>
          <t>%</t>
        </is>
      </c>
      <c r="G19" s="39" t="n"/>
      <c r="H19" s="39" t="n"/>
      <c r="I19" s="39" t="n"/>
      <c r="J19" s="39" t="n"/>
      <c r="K19" s="39" t="n"/>
      <c r="L19" s="39" t="n"/>
      <c r="M19" s="39" t="n"/>
      <c r="N19" s="39" t="n"/>
    </row>
    <row r="20">
      <c r="A20" s="39" t="n"/>
      <c r="B20" s="39" t="n"/>
      <c r="C20" s="57" t="inlineStr">
        <is>
          <t>Test successful coverage</t>
        </is>
      </c>
      <c r="D20" s="39" t="n"/>
      <c r="E20" s="70">
        <f>D17*100/(H17-G17)</f>
        <v/>
      </c>
      <c r="F20" s="57" t="inlineStr">
        <is>
          <t>%</t>
        </is>
      </c>
      <c r="G20" s="39" t="n"/>
      <c r="H20" s="39" t="n"/>
      <c r="I20" s="39" t="n"/>
      <c r="J20" s="39" t="n"/>
      <c r="K20" s="39" t="n"/>
      <c r="L20" s="39" t="n"/>
      <c r="M20" s="39" t="n"/>
      <c r="N20" s="39" t="n"/>
    </row>
    <row r="21">
      <c r="A21" s="39" t="n"/>
      <c r="B21" s="39" t="n"/>
      <c r="C21" s="39" t="n"/>
      <c r="D21" s="39" t="n"/>
      <c r="E21" s="39" t="n"/>
      <c r="F21" s="39" t="n"/>
      <c r="G21" s="39" t="n"/>
      <c r="H21" s="39" t="n"/>
      <c r="I21" s="39" t="n"/>
      <c r="J21" s="39" t="n"/>
      <c r="K21" s="39" t="n"/>
      <c r="L21" s="39" t="n"/>
      <c r="M21" s="39" t="n"/>
      <c r="N21" s="39" t="n"/>
    </row>
    <row r="22">
      <c r="A22" s="39" t="n"/>
      <c r="B22" s="39" t="n"/>
      <c r="C22" s="57" t="inlineStr">
        <is>
          <t>ĐÁNH GIÁ CHẤT LƯỢNG TÍCH HỢP HỆ THỐNG:</t>
        </is>
      </c>
      <c r="D22" s="39" t="n"/>
      <c r="E22" s="39" t="n"/>
      <c r="F22" s="39" t="n"/>
      <c r="G22" s="39" t="n"/>
      <c r="H22" s="39" t="n"/>
      <c r="I22" s="39" t="n"/>
      <c r="J22" s="39" t="n"/>
      <c r="K22" s="39" t="n"/>
      <c r="L22" s="39" t="n"/>
      <c r="M22" s="39" t="n"/>
      <c r="N22" s="39" t="n"/>
    </row>
    <row r="23">
      <c r="A23" s="39" t="n"/>
      <c r="B23" s="39" t="n"/>
      <c r="C23" s="71" t="inlineStr">
        <is>
          <t>✓ 10/10 Integration Test Cases (Sandwich Strategy) đạt kết quả Pass 100%, không còn lỗi tồn đọng.</t>
        </is>
      </c>
      <c r="D23" s="39" t="n"/>
      <c r="E23" s="39" t="n"/>
      <c r="F23" s="39" t="n"/>
      <c r="G23" s="39" t="n"/>
      <c r="H23" s="39" t="n"/>
      <c r="I23" s="39" t="n"/>
      <c r="J23" s="39" t="n"/>
      <c r="K23" s="39" t="n"/>
      <c r="L23" s="39" t="n"/>
      <c r="M23" s="39" t="n"/>
      <c r="N23" s="39" t="n"/>
    </row>
    <row r="24">
      <c r="A24" s="39" t="n"/>
      <c r="B24" s="39" t="n"/>
      <c r="C24" s="72" t="inlineStr">
        <is>
          <t>✓ Toàn bộ 5 lỗi tích hợp (Bug Log BUG-IT-001 -&gt; 005) đã được khắc phục triệt để và kiểm thử hồi quy thành công.</t>
        </is>
      </c>
      <c r="D24" s="39" t="n"/>
      <c r="E24" s="39" t="n"/>
      <c r="F24" s="39" t="n"/>
      <c r="G24" s="39" t="n"/>
      <c r="H24" s="39" t="n"/>
      <c r="I24" s="39" t="n"/>
      <c r="J24" s="39" t="n"/>
      <c r="K24" s="39" t="n"/>
      <c r="L24" s="39" t="n"/>
      <c r="M24" s="39" t="n"/>
      <c r="N24" s="39" t="n"/>
    </row>
    <row r="25">
      <c r="A25" s="39" t="n"/>
      <c r="B25" s="39" t="n"/>
      <c r="C25" s="72" t="inlineStr">
        <is>
          <t>✓ Bộ kiểm thử tự động hóa Vitest integrationFlows.test.js thực thi đạt 100% trong 13ms.</t>
        </is>
      </c>
      <c r="D25" s="39" t="n"/>
      <c r="E25" s="39" t="n"/>
      <c r="F25" s="39" t="n"/>
      <c r="G25" s="39" t="n"/>
      <c r="H25" s="39" t="n"/>
      <c r="I25" s="39" t="n"/>
      <c r="J25" s="39" t="n"/>
      <c r="K25" s="39" t="n"/>
      <c r="L25" s="39" t="n"/>
      <c r="M25" s="39" t="n"/>
      <c r="N25" s="39" t="n"/>
    </row>
    <row r="26">
      <c r="A26" s="39" t="n"/>
      <c r="B26" s="39" t="n"/>
      <c r="C26" s="39" t="n"/>
      <c r="D26" s="39" t="n"/>
      <c r="E26" s="39" t="n"/>
      <c r="F26" s="39" t="n"/>
      <c r="G26" s="39" t="n"/>
      <c r="H26" s="39" t="n"/>
      <c r="I26" s="39" t="n"/>
      <c r="J26" s="39" t="n"/>
      <c r="K26" s="39" t="n"/>
      <c r="L26" s="39" t="n"/>
      <c r="M26" s="39" t="n"/>
      <c r="N26" s="39" t="n"/>
    </row>
    <row r="27">
      <c r="A27" s="39" t="n"/>
      <c r="B27" s="39" t="n"/>
      <c r="C27" s="39" t="n"/>
      <c r="D27" s="39" t="n"/>
      <c r="E27" s="39" t="n"/>
      <c r="F27" s="39" t="n"/>
      <c r="G27" s="39" t="n"/>
      <c r="H27" s="39" t="n"/>
      <c r="I27" s="39" t="n"/>
      <c r="J27" s="39" t="n"/>
      <c r="K27" s="39" t="n"/>
      <c r="L27" s="39" t="n"/>
      <c r="M27" s="39" t="n"/>
      <c r="N27" s="39" t="n"/>
    </row>
    <row r="28">
      <c r="A28" s="39" t="n"/>
      <c r="B28" s="39" t="n"/>
      <c r="C28" s="39" t="n"/>
      <c r="D28" s="39" t="n"/>
      <c r="E28" s="39" t="n"/>
      <c r="F28" s="39" t="n"/>
      <c r="G28" s="39" t="n"/>
      <c r="H28" s="39" t="n"/>
      <c r="I28" s="39" t="n"/>
      <c r="J28" s="39" t="n"/>
      <c r="K28" s="39" t="n"/>
      <c r="L28" s="39" t="n"/>
      <c r="M28" s="39" t="n"/>
      <c r="N28" s="39" t="n"/>
    </row>
    <row r="29">
      <c r="A29" s="39" t="n"/>
      <c r="B29" s="39" t="n"/>
      <c r="C29" s="39" t="n"/>
      <c r="D29" s="39" t="n"/>
      <c r="E29" s="39" t="n"/>
      <c r="F29" s="39" t="n"/>
      <c r="G29" s="39" t="n"/>
      <c r="H29" s="39" t="n"/>
      <c r="I29" s="39" t="n"/>
      <c r="J29" s="39" t="n"/>
      <c r="K29" s="39" t="n"/>
      <c r="L29" s="39" t="n"/>
      <c r="M29" s="39" t="n"/>
      <c r="N29" s="39" t="n"/>
    </row>
    <row r="30">
      <c r="A30" s="39" t="n"/>
      <c r="B30" s="39" t="n"/>
      <c r="C30" s="39" t="n"/>
      <c r="D30" s="39" t="n"/>
      <c r="E30" s="39" t="n"/>
      <c r="F30" s="39" t="n"/>
      <c r="G30" s="39" t="n"/>
      <c r="H30" s="39" t="n"/>
      <c r="I30" s="39" t="n"/>
      <c r="J30" s="39" t="n"/>
      <c r="K30" s="39" t="n"/>
      <c r="L30" s="39" t="n"/>
      <c r="M30" s="39" t="n"/>
      <c r="N30" s="39" t="n"/>
    </row>
    <row r="31">
      <c r="A31" s="39" t="n"/>
      <c r="B31" s="39" t="n"/>
      <c r="C31" s="39" t="n"/>
      <c r="D31" s="39" t="n"/>
      <c r="E31" s="39" t="n"/>
      <c r="F31" s="39" t="n"/>
      <c r="G31" s="39" t="n"/>
      <c r="H31" s="39" t="n"/>
      <c r="I31" s="39" t="n"/>
      <c r="J31" s="39" t="n"/>
      <c r="K31" s="39" t="n"/>
      <c r="L31" s="39" t="n"/>
      <c r="M31" s="39" t="n"/>
      <c r="N31" s="39" t="n"/>
    </row>
    <row r="32">
      <c r="A32" s="39" t="n"/>
      <c r="B32" s="39" t="n"/>
      <c r="C32" s="39" t="n"/>
      <c r="D32" s="39" t="n"/>
      <c r="E32" s="39" t="n"/>
      <c r="F32" s="39" t="n"/>
      <c r="G32" s="39" t="n"/>
      <c r="H32" s="39" t="n"/>
      <c r="I32" s="39" t="n"/>
      <c r="J32" s="39" t="n"/>
      <c r="K32" s="39" t="n"/>
      <c r="L32" s="39" t="n"/>
      <c r="M32" s="39" t="n"/>
      <c r="N32" s="39" t="n"/>
    </row>
    <row r="33">
      <c r="A33" s="39" t="n"/>
      <c r="B33" s="39" t="n"/>
      <c r="C33" s="39" t="n"/>
      <c r="D33" s="39" t="n"/>
      <c r="E33" s="39" t="n"/>
      <c r="F33" s="39" t="n"/>
      <c r="G33" s="39" t="n"/>
      <c r="H33" s="39" t="n"/>
      <c r="I33" s="39" t="n"/>
      <c r="J33" s="39" t="n"/>
      <c r="K33" s="39" t="n"/>
      <c r="L33" s="39" t="n"/>
      <c r="M33" s="39" t="n"/>
      <c r="N33" s="39" t="n"/>
    </row>
    <row r="34">
      <c r="A34" s="39" t="n"/>
      <c r="B34" s="39" t="n"/>
      <c r="C34" s="39" t="n"/>
      <c r="D34" s="39" t="n"/>
      <c r="E34" s="39" t="n"/>
      <c r="F34" s="39" t="n"/>
      <c r="G34" s="39" t="n"/>
      <c r="H34" s="39" t="n"/>
      <c r="I34" s="39" t="n"/>
      <c r="J34" s="39" t="n"/>
      <c r="K34" s="39" t="n"/>
      <c r="L34" s="39" t="n"/>
      <c r="M34" s="39" t="n"/>
      <c r="N34" s="39" t="n"/>
    </row>
  </sheetData>
  <mergeCells count="8">
    <mergeCell ref="E4:F4"/>
    <mergeCell ref="C6:H6"/>
    <mergeCell ref="B1:H1"/>
    <mergeCell ref="C5:D5"/>
    <mergeCell ref="E5:F5"/>
    <mergeCell ref="C3:D3"/>
    <mergeCell ref="E3:F3"/>
    <mergeCell ref="C4:D4"/>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N19"/>
  <sheetViews>
    <sheetView showGridLines="1" workbookViewId="0">
      <selection activeCell="A1" sqref="A1"/>
    </sheetView>
  </sheetViews>
  <sheetFormatPr baseColWidth="8" defaultRowHeight="15"/>
  <cols>
    <col width="12" customWidth="1" min="1" max="1"/>
    <col width="14" customWidth="1" min="2" max="2"/>
    <col width="16" customWidth="1" min="3" max="3"/>
    <col width="38" customWidth="1" min="4" max="4"/>
    <col width="14" customWidth="1" min="5" max="5"/>
    <col width="14" customWidth="1" min="6" max="6"/>
    <col width="38" customWidth="1" min="7" max="7"/>
    <col width="15" customWidth="1" min="8" max="8"/>
    <col width="15" customWidth="1" min="9" max="9"/>
    <col width="50" customWidth="1" min="10" max="10"/>
  </cols>
  <sheetData>
    <row r="1">
      <c r="A1" s="39" t="n"/>
      <c r="B1" s="39" t="n"/>
      <c r="C1" s="39" t="n"/>
      <c r="D1" s="39" t="n"/>
      <c r="E1" s="39" t="n"/>
      <c r="F1" s="39" t="n"/>
      <c r="G1" s="39" t="n"/>
      <c r="H1" s="39" t="n"/>
      <c r="I1" s="39" t="n"/>
      <c r="J1" s="39" t="n"/>
      <c r="K1" s="39" t="n"/>
      <c r="L1" s="39" t="n"/>
      <c r="M1" s="39" t="n"/>
      <c r="N1" s="39" t="n"/>
    </row>
    <row r="2" ht="28" customHeight="1">
      <c r="A2" s="84" t="n"/>
      <c r="B2" s="84" t="inlineStr">
        <is>
          <t>DANH SÁCH LỖI TÍCH HỢP PHÁT HIỆN TRONG INTEGRATION TEST (BUG LOG)</t>
        </is>
      </c>
      <c r="C2" s="39" t="n"/>
      <c r="D2" s="39" t="n"/>
      <c r="E2" s="39" t="n"/>
      <c r="F2" s="39" t="n"/>
      <c r="G2" s="39" t="n"/>
      <c r="H2" s="39" t="n"/>
      <c r="I2" s="39" t="n"/>
      <c r="J2" s="39" t="n"/>
      <c r="K2" s="39" t="n"/>
      <c r="L2" s="39" t="n"/>
      <c r="M2" s="39" t="n"/>
      <c r="N2" s="39" t="n"/>
    </row>
    <row r="3">
      <c r="A3" s="39" t="n"/>
      <c r="B3" s="39" t="n"/>
      <c r="C3" s="39" t="n"/>
      <c r="D3" s="39" t="n"/>
      <c r="E3" s="39" t="n"/>
      <c r="F3" s="39" t="n"/>
      <c r="G3" s="39" t="n"/>
      <c r="H3" s="39" t="n"/>
      <c r="I3" s="39" t="n"/>
      <c r="J3" s="39" t="n"/>
      <c r="K3" s="39" t="n"/>
      <c r="L3" s="39" t="n"/>
      <c r="M3" s="39" t="n"/>
      <c r="N3" s="39" t="n"/>
    </row>
    <row r="4" ht="28" customHeight="1">
      <c r="A4" s="81" t="n"/>
      <c r="B4" s="81" t="inlineStr">
        <is>
          <t>Bug ID</t>
        </is>
      </c>
      <c r="C4" s="81" t="inlineStr">
        <is>
          <t>Tiêu đề lỗi (Bug Title)</t>
        </is>
      </c>
      <c r="D4" s="81" t="inlineStr">
        <is>
          <t>Mức ưu tiên (Severity / Priority)</t>
        </is>
      </c>
      <c r="E4" s="81" t="inlineStr">
        <is>
          <t>Phân hệ tích hợp phát sinh</t>
        </is>
      </c>
      <c r="F4" s="81" t="inlineStr">
        <is>
          <t>Tester phát hiện</t>
        </is>
      </c>
      <c r="G4" s="81" t="inlineStr">
        <is>
          <t>Ngày phát hiện</t>
        </is>
      </c>
      <c r="H4" s="81" t="inlineStr">
        <is>
          <t>Mã ITC liên quan</t>
        </is>
      </c>
      <c r="I4" s="81" t="inlineStr">
        <is>
          <t>Trạng thái (Status)</t>
        </is>
      </c>
      <c r="J4" s="95" t="inlineStr">
        <is>
          <t>Mô tả giải pháp khắc phục (Resolution Summary)</t>
        </is>
      </c>
      <c r="K4" s="39" t="n"/>
      <c r="L4" s="39" t="n"/>
      <c r="M4" s="39" t="n"/>
      <c r="N4" s="39" t="n"/>
    </row>
    <row r="5" ht="50" customHeight="1">
      <c r="A5" s="39" t="n"/>
      <c r="B5" s="112" t="inlineStr">
        <is>
          <t>BUG-IT-001</t>
        </is>
      </c>
      <c r="C5" s="89" t="inlineStr">
        <is>
          <t>Số dư ví bị lỗi số thực dạng thập phân (Floating-point precision) khi thực hiện nạp tiền và gia hạn nhiều lần</t>
        </is>
      </c>
      <c r="D5" s="113" t="inlineStr">
        <is>
          <t>Medium</t>
        </is>
      </c>
      <c r="E5" s="89" t="inlineStr">
        <is>
          <t>WalletPage ↔ AppContext</t>
        </is>
      </c>
      <c r="F5" s="104" t="inlineStr">
        <is>
          <t>Lê Minh Quân</t>
        </is>
      </c>
      <c r="G5" s="104" t="inlineStr">
        <is>
          <t>19/09/2026</t>
        </is>
      </c>
      <c r="H5" s="104" t="inlineStr">
        <is>
          <t>ITC-04</t>
        </is>
      </c>
      <c r="I5" s="114" t="inlineStr">
        <is>
          <t>Đã sửa (Fixed)</t>
        </is>
      </c>
      <c r="J5" s="89" t="inlineStr">
        <is>
          <t>Áp dụng chuẩn hóa Math.round(balance) và xử lý chuỗi số nguyên VND trước khi lưu vào LocalStorage và cập nhật AppContext.</t>
        </is>
      </c>
      <c r="K5" s="39" t="n"/>
      <c r="L5" s="39" t="n"/>
      <c r="M5" s="39" t="n"/>
      <c r="N5" s="39" t="n"/>
    </row>
    <row r="6" ht="50" customHeight="1">
      <c r="A6" s="39" t="n"/>
      <c r="B6" s="115" t="inlineStr">
        <is>
          <t>BUG-IT-002</t>
        </is>
      </c>
      <c r="C6" s="87" t="inlineStr">
        <is>
          <t>Gia hạn giờ thuê bị đè mốc Date.now() làm mất thời gian chơi còn lại của khách hàng thay vì cộng dồn nối tiếp</t>
        </is>
      </c>
      <c r="D6" s="116" t="inlineStr">
        <is>
          <t>High</t>
        </is>
      </c>
      <c r="E6" s="87" t="inlineStr">
        <is>
          <t>ExtendRentalModal ↔ CountdownTimer</t>
        </is>
      </c>
      <c r="F6" s="107" t="inlineStr">
        <is>
          <t>Lê Hải Đăng</t>
        </is>
      </c>
      <c r="G6" s="107" t="inlineStr">
        <is>
          <t>18/09/2026</t>
        </is>
      </c>
      <c r="H6" s="107" t="inlineStr">
        <is>
          <t>ITC-04</t>
        </is>
      </c>
      <c r="I6" s="114" t="inlineStr">
        <is>
          <t>Đã sửa (Fixed)</t>
        </is>
      </c>
      <c r="J6" s="87" t="inlineStr">
        <is>
          <t>Sửa lại thuật toán cộng dồn: newEndTime = Math.max(rental.endTime, Date.now()) + (hours * 3600000), đảm bảo giữ nguyên thời gian cũ còn thừa.</t>
        </is>
      </c>
      <c r="K6" s="39" t="n"/>
      <c r="L6" s="39" t="n"/>
      <c r="M6" s="39" t="n"/>
      <c r="N6" s="39" t="n"/>
    </row>
    <row r="7" ht="50" customHeight="1">
      <c r="A7" s="39" t="n"/>
      <c r="B7" s="112" t="inlineStr">
        <is>
          <t>BUG-IT-003</t>
        </is>
      </c>
      <c r="C7" s="89" t="inlineStr">
        <is>
          <t>Admin phê duyệt khiếu nại sự cố không cộng lại tiền vào ví tài khoản khách hàng do thiếu hàm dispatch</t>
        </is>
      </c>
      <c r="D7" s="117" t="inlineStr">
        <is>
          <t>Critical</t>
        </is>
      </c>
      <c r="E7" s="89" t="inlineStr">
        <is>
          <t>DisputeModal ↔ OverviewDashboard</t>
        </is>
      </c>
      <c r="F7" s="104" t="inlineStr">
        <is>
          <t>Lê Xuân Đạt</t>
        </is>
      </c>
      <c r="G7" s="104" t="inlineStr">
        <is>
          <t>19/09/2026</t>
        </is>
      </c>
      <c r="H7" s="104" t="inlineStr">
        <is>
          <t>ITC-05</t>
        </is>
      </c>
      <c r="I7" s="114" t="inlineStr">
        <is>
          <t>Đã sửa (Fixed)</t>
        </is>
      </c>
      <c r="J7" s="89" t="inlineStr">
        <is>
          <t>Bổ sung hàm updateWalletBalance(dispute.userId, dispute.amount) trong AppContext khi Admin bấm duyệt khiếu nại, đồng thời ghi log hoàn tiền.</t>
        </is>
      </c>
      <c r="K7" s="39" t="n"/>
      <c r="L7" s="39" t="n"/>
      <c r="M7" s="39" t="n"/>
      <c r="N7" s="39" t="n"/>
    </row>
    <row r="8" ht="50" customHeight="1">
      <c r="A8" s="39" t="n"/>
      <c r="B8" s="115" t="inlineStr">
        <is>
          <t>BUG-IT-004</t>
        </is>
      </c>
      <c r="C8" s="87" t="inlineStr">
        <is>
          <t>Trả nick sớm không cập nhật trạng thái tài khoản sang 'need_change_pass' dẫn đến nguy cơ khách khác thuê phải pass cũ</t>
        </is>
      </c>
      <c r="D8" s="116" t="inlineStr">
        <is>
          <t>High</t>
        </is>
      </c>
      <c r="E8" s="87" t="inlineStr">
        <is>
          <t>ReturnEarlyModal ↔ Inventory</t>
        </is>
      </c>
      <c r="F8" s="107" t="inlineStr">
        <is>
          <t>Lê Thanh Tùng</t>
        </is>
      </c>
      <c r="G8" s="107" t="inlineStr">
        <is>
          <t>20/09/2026</t>
        </is>
      </c>
      <c r="H8" s="107" t="inlineStr">
        <is>
          <t>ITC-06</t>
        </is>
      </c>
      <c r="I8" s="114" t="inlineStr">
        <is>
          <t>Đã sửa (Fixed)</t>
        </is>
      </c>
      <c r="J8" s="87" t="inlineStr">
        <is>
          <t>Cập nhật hàm returnEarly() tự động chuyển đổi status tài khoản thành 'need_change_pass' ngay khi xác nhận trả sớm, ngăn chặn việc hiển thị trên Cửa hàng.</t>
        </is>
      </c>
      <c r="K8" s="39" t="n"/>
      <c r="L8" s="39" t="n"/>
      <c r="M8" s="39" t="n"/>
      <c r="N8" s="39" t="n"/>
    </row>
    <row r="9" ht="50" customHeight="1">
      <c r="A9" s="39" t="n"/>
      <c r="B9" s="112" t="inlineStr">
        <is>
          <t>BUG-IT-005</t>
        </is>
      </c>
      <c r="C9" s="89" t="inlineStr">
        <is>
          <t>Mật khẩu ngẫu nhiên tự động sinh bởi hệ thống có thể trùng với mật khẩu cũ nếu không kiểm tra điều kiện trùng lặp</t>
        </is>
      </c>
      <c r="D9" s="113" t="inlineStr">
        <is>
          <t>Medium</t>
        </is>
      </c>
      <c r="E9" s="89" t="inlineStr">
        <is>
          <t>AutoResetEngine ↔ Crypto</t>
        </is>
      </c>
      <c r="F9" s="104" t="inlineStr">
        <is>
          <t>Lê Hải Đăng</t>
        </is>
      </c>
      <c r="G9" s="104" t="inlineStr">
        <is>
          <t>20/09/2026</t>
        </is>
      </c>
      <c r="H9" s="104" t="inlineStr">
        <is>
          <t>ITC-07</t>
        </is>
      </c>
      <c r="I9" s="114" t="inlineStr">
        <is>
          <t>Đã sửa (Fixed)</t>
        </is>
      </c>
      <c r="J9" s="89" t="inlineStr">
        <is>
          <t>Thêm vòng lặp do-while đảm bảo newPassword !== oldPassword và áp dụng bảng ký tự đa dạng (hoa, thường, số, ký tự đặc biệt) độ dài 12 ký tự.</t>
        </is>
      </c>
      <c r="K9" s="39" t="n"/>
      <c r="L9" s="39" t="n"/>
      <c r="M9" s="39" t="n"/>
      <c r="N9" s="39" t="n"/>
    </row>
    <row r="10">
      <c r="A10" s="39" t="n"/>
      <c r="B10" s="39" t="n"/>
      <c r="C10" s="39" t="n"/>
      <c r="D10" s="39" t="n"/>
      <c r="E10" s="39" t="n"/>
      <c r="F10" s="39" t="n"/>
      <c r="G10" s="39" t="n"/>
      <c r="H10" s="39" t="n"/>
      <c r="I10" s="39" t="n"/>
      <c r="J10" s="39" t="n"/>
      <c r="K10" s="39" t="n"/>
      <c r="L10" s="39" t="n"/>
      <c r="M10" s="39" t="n"/>
      <c r="N10" s="39" t="n"/>
    </row>
    <row r="11">
      <c r="A11" s="39" t="n"/>
      <c r="B11" s="39" t="n"/>
      <c r="C11" s="39" t="n"/>
      <c r="D11" s="39" t="n"/>
      <c r="E11" s="39" t="n"/>
      <c r="F11" s="39" t="n"/>
      <c r="G11" s="39" t="n"/>
      <c r="H11" s="39" t="n"/>
      <c r="I11" s="39" t="n"/>
      <c r="J11" s="39" t="n"/>
      <c r="K11" s="39" t="n"/>
      <c r="L11" s="39" t="n"/>
      <c r="M11" s="39" t="n"/>
      <c r="N11" s="39" t="n"/>
    </row>
    <row r="12">
      <c r="A12" s="39" t="n"/>
      <c r="B12" s="39" t="n"/>
      <c r="C12" s="39" t="n"/>
      <c r="D12" s="39" t="n"/>
      <c r="E12" s="39" t="n"/>
      <c r="F12" s="39" t="n"/>
      <c r="G12" s="39" t="n"/>
      <c r="H12" s="39" t="n"/>
      <c r="I12" s="39" t="n"/>
      <c r="J12" s="39" t="n"/>
      <c r="K12" s="39" t="n"/>
      <c r="L12" s="39" t="n"/>
      <c r="M12" s="39" t="n"/>
      <c r="N12" s="39" t="n"/>
    </row>
    <row r="13">
      <c r="A13" s="39" t="n"/>
      <c r="B13" s="39" t="n"/>
      <c r="C13" s="39" t="n"/>
      <c r="D13" s="39" t="n"/>
      <c r="E13" s="39" t="n"/>
      <c r="F13" s="39" t="n"/>
      <c r="G13" s="39" t="n"/>
      <c r="H13" s="39" t="n"/>
      <c r="I13" s="39" t="n"/>
      <c r="J13" s="39" t="n"/>
      <c r="K13" s="39" t="n"/>
      <c r="L13" s="39" t="n"/>
      <c r="M13" s="39" t="n"/>
      <c r="N13" s="39" t="n"/>
    </row>
    <row r="14">
      <c r="A14" s="39" t="n"/>
      <c r="B14" s="39" t="n"/>
      <c r="C14" s="39" t="n"/>
      <c r="D14" s="39" t="n"/>
      <c r="E14" s="39" t="n"/>
      <c r="F14" s="39" t="n"/>
      <c r="G14" s="39" t="n"/>
      <c r="H14" s="39" t="n"/>
      <c r="I14" s="39" t="n"/>
      <c r="J14" s="39" t="n"/>
      <c r="K14" s="39" t="n"/>
      <c r="L14" s="39" t="n"/>
      <c r="M14" s="39" t="n"/>
      <c r="N14" s="39" t="n"/>
    </row>
    <row r="15">
      <c r="A15" s="39" t="n"/>
      <c r="B15" s="39" t="n"/>
      <c r="C15" s="39" t="n"/>
      <c r="D15" s="39" t="n"/>
      <c r="E15" s="39" t="n"/>
      <c r="F15" s="39" t="n"/>
      <c r="G15" s="39" t="n"/>
      <c r="H15" s="39" t="n"/>
      <c r="I15" s="39" t="n"/>
      <c r="J15" s="39" t="n"/>
      <c r="K15" s="39" t="n"/>
      <c r="L15" s="39" t="n"/>
      <c r="M15" s="39" t="n"/>
      <c r="N15" s="39" t="n"/>
    </row>
    <row r="16">
      <c r="A16" s="39" t="n"/>
      <c r="B16" s="39" t="n"/>
      <c r="C16" s="39" t="n"/>
      <c r="D16" s="39" t="n"/>
      <c r="E16" s="39" t="n"/>
      <c r="F16" s="39" t="n"/>
      <c r="G16" s="39" t="n"/>
      <c r="H16" s="39" t="n"/>
      <c r="I16" s="39" t="n"/>
      <c r="J16" s="39" t="n"/>
      <c r="K16" s="39" t="n"/>
      <c r="L16" s="39" t="n"/>
      <c r="M16" s="39" t="n"/>
      <c r="N16" s="39" t="n"/>
    </row>
    <row r="17">
      <c r="A17" s="39" t="n"/>
      <c r="B17" s="39" t="n"/>
      <c r="C17" s="39" t="n"/>
      <c r="D17" s="39" t="n"/>
      <c r="E17" s="39" t="n"/>
      <c r="F17" s="39" t="n"/>
      <c r="G17" s="39" t="n"/>
      <c r="H17" s="39" t="n"/>
      <c r="I17" s="39" t="n"/>
      <c r="J17" s="39" t="n"/>
      <c r="K17" s="39" t="n"/>
      <c r="L17" s="39" t="n"/>
      <c r="M17" s="39" t="n"/>
      <c r="N17" s="39" t="n"/>
    </row>
    <row r="18">
      <c r="A18" s="39" t="n"/>
      <c r="B18" s="39" t="n"/>
      <c r="C18" s="39" t="n"/>
      <c r="D18" s="39" t="n"/>
      <c r="E18" s="39" t="n"/>
      <c r="F18" s="39" t="n"/>
      <c r="G18" s="39" t="n"/>
      <c r="H18" s="39" t="n"/>
      <c r="I18" s="39" t="n"/>
      <c r="J18" s="39" t="n"/>
      <c r="K18" s="39" t="n"/>
      <c r="L18" s="39" t="n"/>
      <c r="M18" s="39" t="n"/>
      <c r="N18" s="39" t="n"/>
    </row>
    <row r="19">
      <c r="A19" s="39" t="n"/>
      <c r="B19" s="39" t="n"/>
      <c r="C19" s="39" t="n"/>
      <c r="D19" s="39" t="n"/>
      <c r="E19" s="39" t="n"/>
      <c r="F19" s="39" t="n"/>
      <c r="G19" s="39" t="n"/>
      <c r="H19" s="39" t="n"/>
      <c r="I19" s="39" t="n"/>
      <c r="J19" s="39" t="n"/>
      <c r="K19" s="39" t="n"/>
      <c r="L19" s="39" t="n"/>
      <c r="M19" s="39" t="n"/>
      <c r="N19" s="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2026-09-16T13:29:38Z</dcterms:created>
  <dcterms:modified xmlns:dcterms="http://purl.org/dc/terms/" xmlns:xsi="http://www.w3.org/2001/XMLSchema-instance" xsi:type="dcterms:W3CDTF">2026-10-01T10:16:15Z</dcterms:modified>
</cp:coreProperties>
</file>