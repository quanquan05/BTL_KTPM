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FunctionList" sheetId="2" state="visible" r:id="rId2"/>
    <sheet xmlns:r="http://schemas.openxmlformats.org/officeDocument/2006/relationships" name="Test Report" sheetId="3" state="visible" r:id="rId3"/>
    <sheet xmlns:r="http://schemas.openxmlformats.org/officeDocument/2006/relationships" name="F_AUTH_REG" sheetId="4" state="visible" r:id="rId4"/>
    <sheet xmlns:r="http://schemas.openxmlformats.org/officeDocument/2006/relationships" name="F_AUTH_LOGIN" sheetId="5" state="visible" r:id="rId5"/>
    <sheet xmlns:r="http://schemas.openxmlformats.org/officeDocument/2006/relationships" name="F_WAL_DEP" sheetId="6" state="visible" r:id="rId6"/>
    <sheet xmlns:r="http://schemas.openxmlformats.org/officeDocument/2006/relationships" name="F_RENT_CALC" sheetId="7" state="visible" r:id="rId7"/>
    <sheet xmlns:r="http://schemas.openxmlformats.org/officeDocument/2006/relationships" name="F_ADM_PROD" sheetId="8" state="visible" r:id="rId8"/>
    <sheet xmlns:r="http://schemas.openxmlformats.org/officeDocument/2006/relationships" name="F_REF_EXT" sheetId="9" state="visible" r:id="rId9"/>
    <sheet xmlns:r="http://schemas.openxmlformats.org/officeDocument/2006/relationships" name="F_AUTO_PASS" sheetId="10" state="visible" r:id="rId10"/>
    <sheet xmlns:r="http://schemas.openxmlformats.org/officeDocument/2006/relationships" name="F_AUTH_CHG_PWD" sheetId="11" state="visible" r:id="rId11"/>
    <sheet xmlns:r="http://schemas.openxmlformats.org/officeDocument/2006/relationships" name="F_CRM_SYNC" sheetId="12" state="visible" r:id="rId12"/>
    <sheet xmlns:r="http://schemas.openxmlformats.org/officeDocument/2006/relationships" name="F_FAV_SEP" sheetId="13" state="visible" r:id="rId13"/>
    <sheet xmlns:r="http://schemas.openxmlformats.org/officeDocument/2006/relationships" name="Code" sheetId="14" state="visible" r:id="rId14"/>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Tahoma"/>
      <b val="1"/>
      <color rgb="00000000"/>
      <sz val="20"/>
    </font>
    <font>
      <name val="Tahoma"/>
      <b val="1"/>
      <color rgb="00993300"/>
      <sz val="10"/>
    </font>
    <font>
      <name val="Tahoma"/>
      <color rgb="00008000"/>
      <sz val="10"/>
    </font>
    <font>
      <name val="Tahoma"/>
      <color rgb="00000000"/>
      <sz val="9.5"/>
    </font>
    <font>
      <name val="Tahoma"/>
      <b val="1"/>
      <color rgb="00FFFFFF"/>
      <sz val="10"/>
    </font>
    <font>
      <name val="Tahoma"/>
      <i val="1"/>
      <color rgb="00718096"/>
      <sz val="9"/>
    </font>
    <font>
      <name val="Tahoma"/>
      <b val="1"/>
      <color rgb="000000FF"/>
      <sz val="10"/>
    </font>
    <font>
      <name val="Tahoma"/>
      <b val="1"/>
      <color rgb="00000080"/>
      <sz val="10"/>
    </font>
    <font>
      <name val="Tahoma"/>
      <b val="1"/>
      <color rgb="00000000"/>
      <sz val="10"/>
    </font>
    <font>
      <name val="Tahoma"/>
      <b val="1"/>
      <color rgb="0022543D"/>
      <sz val="9.5"/>
    </font>
    <font>
      <name val="Tahoma"/>
      <b val="1"/>
      <color rgb="00000080"/>
      <sz val="13"/>
    </font>
    <font>
      <name val="Tahoma"/>
      <b val="1"/>
      <color rgb="00000080"/>
      <sz val="10.5"/>
    </font>
    <font>
      <name val="Consolas"/>
      <sz val="9"/>
    </font>
  </fonts>
  <fills count="5">
    <fill>
      <patternFill/>
    </fill>
    <fill>
      <patternFill patternType="gray125"/>
    </fill>
    <fill>
      <patternFill patternType="solid">
        <fgColor rgb="00000080"/>
        <bgColor rgb="00000080"/>
      </patternFill>
    </fill>
    <fill>
      <patternFill patternType="solid">
        <fgColor rgb="00EBF8FF"/>
        <bgColor rgb="00EBF8FF"/>
      </patternFill>
    </fill>
    <fill>
      <patternFill patternType="solid">
        <fgColor rgb="00C6F6D5"/>
        <bgColor rgb="00C6F6D5"/>
      </patternFill>
    </fill>
  </fills>
  <borders count="2">
    <border>
      <left/>
      <right/>
      <top/>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32">
    <xf numFmtId="0" fontId="0" fillId="0" borderId="0" pivotButton="0" quotePrefix="0" xfId="0"/>
    <xf numFmtId="0" fontId="1" fillId="0" borderId="0" applyAlignment="1" pivotButton="0" quotePrefix="0" xfId="0">
      <alignment horizontal="center" vertical="center"/>
    </xf>
    <xf numFmtId="0" fontId="2" fillId="0" borderId="1" applyAlignment="1" pivotButton="0" quotePrefix="0" xfId="0">
      <alignment horizontal="left" vertical="center"/>
    </xf>
    <xf numFmtId="0" fontId="3" fillId="0" borderId="1" applyAlignment="1" pivotButton="0" quotePrefix="0" xfId="0">
      <alignment horizontal="left" vertical="center"/>
    </xf>
    <xf numFmtId="0" fontId="4" fillId="0" borderId="1" applyAlignment="1" pivotButton="0" quotePrefix="0" xfId="0">
      <alignment horizontal="left" vertical="center"/>
    </xf>
    <xf numFmtId="0" fontId="2" fillId="0" borderId="0" pivotButton="0" quotePrefix="0" xfId="0"/>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left" vertical="center" wrapText="1"/>
    </xf>
    <xf numFmtId="0" fontId="6" fillId="0" borderId="0" pivotButton="0" quotePrefix="0" xfId="0"/>
    <xf numFmtId="0" fontId="2" fillId="0" borderId="1" pivotButton="0" quotePrefix="0" xfId="0"/>
    <xf numFmtId="0" fontId="0" fillId="0" borderId="1" pivotButton="0" quotePrefix="0" xfId="0"/>
    <xf numFmtId="0" fontId="3" fillId="0" borderId="1" pivotButton="0" quotePrefix="0" xfId="0"/>
    <xf numFmtId="0" fontId="4" fillId="0" borderId="1" applyAlignment="1" pivotButton="0" quotePrefix="0" xfId="0">
      <alignment horizontal="left" vertical="top" wrapText="1"/>
    </xf>
    <xf numFmtId="0" fontId="4" fillId="0" borderId="1" pivotButton="0" quotePrefix="0" xfId="0"/>
    <xf numFmtId="0" fontId="7" fillId="0" borderId="0" applyAlignment="1" pivotButton="0" quotePrefix="0" xfId="0">
      <alignment horizontal="center" vertical="center"/>
    </xf>
    <xf numFmtId="0" fontId="4" fillId="0" borderId="0" applyAlignment="1" pivotButton="0" quotePrefix="0" xfId="0">
      <alignment horizontal="left" vertical="center"/>
    </xf>
    <xf numFmtId="0" fontId="8" fillId="0" borderId="0" pivotButton="0" quotePrefix="0" xfId="0"/>
    <xf numFmtId="0" fontId="4" fillId="0" borderId="0" pivotButton="0" quotePrefix="0" xfId="0"/>
    <xf numFmtId="0" fontId="9" fillId="0" borderId="0" pivotButton="0" quotePrefix="0" xfId="0"/>
    <xf numFmtId="0" fontId="7" fillId="0" borderId="1" applyAlignment="1" pivotButton="0" quotePrefix="0" xfId="0">
      <alignment horizontal="center" vertical="center"/>
    </xf>
    <xf numFmtId="0" fontId="0" fillId="2" borderId="1" pivotButton="0" quotePrefix="0" xfId="0"/>
    <xf numFmtId="0" fontId="0" fillId="3" borderId="1" pivotButton="0" quotePrefix="0" xfId="0"/>
    <xf numFmtId="0" fontId="8" fillId="3" borderId="1" pivotButton="0" quotePrefix="0" xfId="0"/>
    <xf numFmtId="0" fontId="8" fillId="0" borderId="1" pivotButton="0" quotePrefix="0" xfId="0"/>
    <xf numFmtId="0" fontId="10" fillId="4" borderId="1" applyAlignment="1" pivotButton="0" quotePrefix="0" xfId="0">
      <alignment horizontal="center" vertical="center"/>
    </xf>
    <xf numFmtId="0" fontId="6" fillId="0" borderId="1" applyAlignment="1" pivotButton="0" quotePrefix="0" xfId="0">
      <alignment horizontal="center" vertical="center"/>
    </xf>
    <xf numFmtId="0" fontId="0" fillId="0" borderId="1" applyAlignment="1" pivotButton="0" quotePrefix="0" xfId="0">
      <alignment horizontal="center" vertical="center"/>
    </xf>
    <xf numFmtId="0" fontId="11" fillId="0" borderId="0" pivotButton="0" quotePrefix="0" xfId="0"/>
    <xf numFmtId="0" fontId="12" fillId="3" borderId="0" pivotButton="0" quotePrefix="0" xfId="0"/>
    <xf numFmtId="0" fontId="6" fillId="0" borderId="0" applyAlignment="1" pivotButton="0" quotePrefix="0" xfId="0">
      <alignment horizontal="right" vertical="center"/>
    </xf>
    <xf numFmtId="0" fontId="13" fillId="0" borderId="0"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F14"/>
  <sheetViews>
    <sheetView workbookViewId="0">
      <selection activeCell="A1" sqref="A1"/>
    </sheetView>
  </sheetViews>
  <sheetFormatPr baseColWidth="8" defaultRowHeight="15"/>
  <cols>
    <col width="18" customWidth="1" min="1" max="1"/>
    <col width="14" customWidth="1" min="2" max="2"/>
    <col width="32" customWidth="1" min="3" max="3"/>
    <col width="14" customWidth="1" min="4" max="4"/>
    <col width="38" customWidth="1" min="5" max="5"/>
    <col width="52" customWidth="1" min="6" max="6"/>
  </cols>
  <sheetData>
    <row r="2" ht="45" customHeight="1">
      <c r="B2" s="1" t="inlineStr">
        <is>
          <t>UNIT TEST CASE</t>
        </is>
      </c>
    </row>
    <row r="4" ht="20" customHeight="1">
      <c r="A4" s="2" t="inlineStr">
        <is>
          <t>Project Name</t>
        </is>
      </c>
      <c r="B4" s="3" t="inlineStr">
        <is>
          <t>GameRent - Website Cho Thuê Tài Khoản Game Tự Động 24/7</t>
        </is>
      </c>
      <c r="C4" s="3" t="n"/>
      <c r="D4" s="3" t="n"/>
      <c r="E4" s="2" t="inlineStr">
        <is>
          <t>Creator</t>
        </is>
      </c>
      <c r="F4" s="4" t="inlineStr">
        <is>
          <t>Nhóm 15 (Lê Minh Quân, Lê Hải Đăng, Lê Xuân Đạt, Lê Thanh Tùng)</t>
        </is>
      </c>
    </row>
    <row r="5" ht="20" customHeight="1">
      <c r="A5" s="2" t="inlineStr">
        <is>
          <t>Project Code</t>
        </is>
      </c>
      <c r="B5" s="3" t="inlineStr">
        <is>
          <t>GAMERENT</t>
        </is>
      </c>
      <c r="C5" s="3" t="n"/>
      <c r="D5" s="3" t="n"/>
      <c r="E5" s="2" t="inlineStr">
        <is>
          <t>Reviewer/Approver</t>
        </is>
      </c>
      <c r="F5" s="4" t="inlineStr">
        <is>
          <t>ThS. Phạm Thị Loan</t>
        </is>
      </c>
    </row>
    <row r="6" ht="20" customHeight="1">
      <c r="A6" s="2" t="inlineStr">
        <is>
          <t>Document Code</t>
        </is>
      </c>
      <c r="B6" s="3">
        <f>B5&amp;"_"&amp;"UTC"&amp;"_"&amp;"v1.0"</f>
        <v/>
      </c>
      <c r="C6" s="3" t="n"/>
      <c r="D6" s="3" t="n"/>
      <c r="E6" s="2" t="inlineStr">
        <is>
          <t>Issue Date</t>
        </is>
      </c>
      <c r="F6" s="4" t="inlineStr">
        <is>
          <t>26/09/2026</t>
        </is>
      </c>
    </row>
    <row r="7" ht="20" customHeight="1">
      <c r="A7" s="2" t="n"/>
      <c r="B7" s="3" t="n"/>
      <c r="C7" s="3" t="n"/>
      <c r="D7" s="3" t="n"/>
      <c r="E7" s="2" t="inlineStr">
        <is>
          <t>Version</t>
        </is>
      </c>
      <c r="F7" s="4" t="inlineStr">
        <is>
          <t>1.0</t>
        </is>
      </c>
    </row>
    <row r="10" ht="22" customHeight="1">
      <c r="A10" s="5" t="inlineStr">
        <is>
          <t>Record of change</t>
        </is>
      </c>
    </row>
    <row r="11" ht="24" customHeight="1">
      <c r="A11" s="6" t="inlineStr">
        <is>
          <t>Effective Date</t>
        </is>
      </c>
      <c r="B11" s="6" t="inlineStr">
        <is>
          <t>Version</t>
        </is>
      </c>
      <c r="C11" s="6" t="inlineStr">
        <is>
          <t>Change Item</t>
        </is>
      </c>
      <c r="D11" s="6" t="inlineStr">
        <is>
          <t>*A,D,M</t>
        </is>
      </c>
      <c r="E11" s="6" t="inlineStr">
        <is>
          <t>Change description</t>
        </is>
      </c>
      <c r="F11" s="6" t="inlineStr">
        <is>
          <t>Reference</t>
        </is>
      </c>
    </row>
    <row r="12" ht="42" customHeight="1">
      <c r="A12" s="7" t="inlineStr">
        <is>
          <t>10/09/2026</t>
        </is>
      </c>
      <c r="B12" s="7" t="inlineStr">
        <is>
          <t>0.1</t>
        </is>
      </c>
      <c r="C12" s="8" t="inlineStr">
        <is>
          <t>Khởi tạo tài liệu và thiết kế ca kiểm thử đơn vị</t>
        </is>
      </c>
      <c r="D12" s="7" t="inlineStr">
        <is>
          <t>A</t>
        </is>
      </c>
      <c r="E12" s="8" t="inlineStr">
        <is>
          <t>Khởi tạo tài liệu đặc tả kiểm thử đơn vị (Unit Testing), thiết kế bộ ca kiểm thử cho các hàm xử lý logic cốt lõi trong dự án GameRent theo biểu mẫu chuẩn.</t>
        </is>
      </c>
      <c r="F12" s="8" t="inlineStr">
        <is>
          <t>SRS GameRent v1.0, Tài liệu thiết kế hệ thống</t>
        </is>
      </c>
    </row>
    <row r="13" ht="42" customHeight="1">
      <c r="A13" s="7" t="inlineStr">
        <is>
          <t>26/09/2026</t>
        </is>
      </c>
      <c r="B13" s="7" t="inlineStr">
        <is>
          <t>1.0</t>
        </is>
      </c>
      <c r="C13" s="8" t="inlineStr">
        <is>
          <t>Hoàn thiện trọn bộ 10 hàm kiểm thử đơn vị dự án GameRent</t>
        </is>
      </c>
      <c r="D13" s="7" t="inlineStr">
        <is>
          <t>M</t>
        </is>
      </c>
      <c r="E13" s="8" t="inlineStr">
        <is>
          <t>Cập nhật hoàn chỉnh toàn bộ 10 sheet hàm kiểm thử chi tiết (100 ca kiểm thử đơn vị áp dụng BVA/EP/Decision Table), bảng FunctionList, mã nguồn mẫu Code và Test Report liên kết công thức tự động 100% Pass.</t>
        </is>
      </c>
      <c r="F13" s="8" t="inlineStr">
        <is>
          <t>Mã nguồn GameRent, Bộ kiểm thử tự động Vitest Suite, Báo cáo BTL KTPM</t>
        </is>
      </c>
    </row>
    <row r="14" ht="20" customHeight="1">
      <c r="A14" s="9" t="inlineStr">
        <is>
          <t>*A: Added, D: Deleted, M: Modified</t>
        </is>
      </c>
    </row>
  </sheetData>
  <mergeCells count="5">
    <mergeCell ref="B5:D5"/>
    <mergeCell ref="B6:D7"/>
    <mergeCell ref="B2:F2"/>
    <mergeCell ref="B4:D4"/>
    <mergeCell ref="A6:A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2:H20"/>
  <sheetViews>
    <sheetView workbookViewId="0">
      <selection activeCell="A1" sqref="A1"/>
    </sheetView>
  </sheetViews>
  <sheetFormatPr baseColWidth="8" defaultRowHeight="15"/>
  <cols>
    <col width="6" customWidth="1" min="1" max="1"/>
    <col width="30" customWidth="1" min="2" max="2"/>
    <col width="22" customWidth="1" min="3" max="3"/>
    <col width="28" customWidth="1" min="4" max="4"/>
    <col width="20" customWidth="1" min="5" max="5"/>
    <col width="20" customWidth="1" min="6" max="6"/>
    <col width="65" customWidth="1" min="7" max="7"/>
    <col width="50" customWidth="1" min="8" max="8"/>
  </cols>
  <sheetData>
    <row r="2" ht="40" customHeight="1">
      <c r="A2" s="1" t="inlineStr">
        <is>
          <t>UNIT TEST CASE LIST</t>
        </is>
      </c>
    </row>
    <row r="4">
      <c r="A4" s="10" t="inlineStr">
        <is>
          <t>Project Name</t>
        </is>
      </c>
      <c r="B4" s="11" t="n"/>
      <c r="C4" s="11" t="n"/>
      <c r="D4" s="11" t="n"/>
      <c r="E4" s="12">
        <f>Cover!B4</f>
        <v/>
      </c>
      <c r="F4" s="11" t="n"/>
      <c r="G4" s="11" t="n"/>
      <c r="H4" s="11" t="n"/>
    </row>
    <row r="5">
      <c r="A5" s="10" t="inlineStr">
        <is>
          <t>Project Code</t>
        </is>
      </c>
      <c r="B5" s="11" t="n"/>
      <c r="C5" s="11" t="n"/>
      <c r="D5" s="11" t="n"/>
      <c r="E5" s="12">
        <f>Cover!B5</f>
        <v/>
      </c>
      <c r="F5" s="11" t="n"/>
      <c r="G5" s="11" t="n"/>
      <c r="H5" s="11" t="n"/>
    </row>
    <row r="6">
      <c r="A6" s="10" t="inlineStr">
        <is>
          <t xml:space="preserve">Normal number of Test cases/KLOC </t>
        </is>
      </c>
      <c r="B6" s="11" t="n"/>
      <c r="C6" s="11" t="n"/>
      <c r="D6" s="11" t="n"/>
      <c r="E6" s="4" t="n">
        <v>100</v>
      </c>
      <c r="F6" s="11" t="n"/>
      <c r="G6" s="11" t="n"/>
      <c r="H6" s="11" t="n"/>
    </row>
    <row r="7" ht="70" customHeight="1">
      <c r="A7" s="10" t="inlineStr">
        <is>
          <t>Test Environment Setup Description</t>
        </is>
      </c>
      <c r="B7" s="11" t="n"/>
      <c r="C7" s="11" t="n"/>
      <c r="D7" s="11" t="n"/>
      <c r="E7" s="13" t="inlineStr">
        <is>
          <t>Môi trường kiểm thử đơn vị (Unit Test Environment):
1. Nền tảng: Node.js v20.x, React 19.x, Vite 5.x
2. Framework: Vitest v5.0.1, jsdom simulated DOM environment
3. Cơ sở dữ liệu: LocalStorage Mock Database Engine
4. Tầng logic nghiệp vụ: src/utils/validation.js, favoriteUtils.js
5. Tiêu chuẩn áp dụng: BVA, EP, Decision Table, UC1_Add New Product</t>
        </is>
      </c>
      <c r="F7" s="11" t="n"/>
      <c r="G7" s="11" t="n"/>
      <c r="H7" s="11" t="n"/>
    </row>
    <row r="10" ht="26" customHeight="1">
      <c r="A10" s="6" t="inlineStr">
        <is>
          <t>No</t>
        </is>
      </c>
      <c r="B10" s="6" t="inlineStr">
        <is>
          <t>Requirement Name</t>
        </is>
      </c>
      <c r="C10" s="6" t="inlineStr">
        <is>
          <t>Class Name</t>
        </is>
      </c>
      <c r="D10" s="6" t="inlineStr">
        <is>
          <t>Function Name</t>
        </is>
      </c>
      <c r="E10" s="6" t="inlineStr">
        <is>
          <t>Function Code(Optional)</t>
        </is>
      </c>
      <c r="F10" s="6" t="inlineStr">
        <is>
          <t>Sheet Name</t>
        </is>
      </c>
      <c r="G10" s="6" t="inlineStr">
        <is>
          <t>Description</t>
        </is>
      </c>
      <c r="H10" s="6" t="inlineStr">
        <is>
          <t>Pre-Condition</t>
        </is>
      </c>
    </row>
    <row r="11" ht="24" customHeight="1">
      <c r="A11" s="7" t="n">
        <v>1</v>
      </c>
      <c r="B11" s="4" t="inlineStr">
        <is>
          <t>Module 1: Xác thực &amp; Đăng ký</t>
        </is>
      </c>
      <c r="C11" s="4" t="inlineStr">
        <is>
          <t>validation.js</t>
        </is>
      </c>
      <c r="D11" s="4" t="inlineStr">
        <is>
          <t>validateRegistration</t>
        </is>
      </c>
      <c r="E11" s="7" t="inlineStr">
        <is>
          <t>F_AUTH_REG</t>
        </is>
      </c>
      <c r="F11" s="7" t="inlineStr">
        <is>
          <t>F_AUTH_REG</t>
        </is>
      </c>
      <c r="G11" s="8" t="inlineStr">
        <is>
          <t>Kiểm tra hợp lệ form đăng ký tài khoản (BVA 4-30 ký tự, SĐT 10 chữ số, mật khẩu &gt;= 6 ký tự, kiểm tra trùng lặp)</t>
        </is>
      </c>
      <c r="H11" s="8" t="inlineStr">
        <is>
          <t>Hệ thống hoạt động bình thường, CSDL có sẵn danh sách user mẫu</t>
        </is>
      </c>
    </row>
    <row r="12" ht="24" customHeight="1">
      <c r="A12" s="7" t="n">
        <v>2</v>
      </c>
      <c r="B12" s="4" t="inlineStr">
        <is>
          <t>Module 2: Xác thực &amp; Đăng nhập</t>
        </is>
      </c>
      <c r="C12" s="4" t="inlineStr">
        <is>
          <t>validation.js</t>
        </is>
      </c>
      <c r="D12" s="4" t="inlineStr">
        <is>
          <t>validateLogin</t>
        </is>
      </c>
      <c r="E12" s="7" t="inlineStr">
        <is>
          <t>F_AUTH_LOGIN</t>
        </is>
      </c>
      <c r="F12" s="7" t="inlineStr">
        <is>
          <t>F_AUTH_LOGIN</t>
        </is>
      </c>
      <c r="G12" s="8" t="inlineStr">
        <is>
          <t>Xác thực thông tin đăng nhập email/mật khẩu, chặn tài khoản bị khóa isBlocked, quản lý phiên</t>
        </is>
      </c>
      <c r="H12" s="8" t="inlineStr">
        <is>
          <t>Hệ thống có sẵn user thường và user bị khóa (isBlocked=true)</t>
        </is>
      </c>
    </row>
    <row r="13" ht="24" customHeight="1">
      <c r="A13" s="7" t="n">
        <v>3</v>
      </c>
      <c r="B13" s="4" t="inlineStr">
        <is>
          <t>Module 3: Ví điện tử &amp; Nạp tiền</t>
        </is>
      </c>
      <c r="C13" s="4" t="inlineStr">
        <is>
          <t>validation.js</t>
        </is>
      </c>
      <c r="D13" s="4" t="inlineStr">
        <is>
          <t>validateDepositAmount</t>
        </is>
      </c>
      <c r="E13" s="7" t="inlineStr">
        <is>
          <t>F_WAL_DEP</t>
        </is>
      </c>
      <c r="F13" s="7" t="inlineStr">
        <is>
          <t>F_WAL_DEP</t>
        </is>
      </c>
      <c r="G13" s="8" t="inlineStr">
        <is>
          <t>Kiểm tra hợp lệ hạn mức nạp tiền ví qua VietQR Auto (BVA 10.000đ - 5.000.000đ, số nguyên dương)</t>
        </is>
      </c>
      <c r="H13" s="8" t="inlineStr">
        <is>
          <t>Người dùng đã đăng nhập, mở modal nạp tiền VietQR</t>
        </is>
      </c>
    </row>
    <row r="14" ht="24" customHeight="1">
      <c r="A14" s="7" t="n">
        <v>4</v>
      </c>
      <c r="B14" s="4" t="inlineStr">
        <is>
          <t>Module 4: Thuê tài khoản game</t>
        </is>
      </c>
      <c r="C14" s="4" t="inlineStr">
        <is>
          <t>validation.js</t>
        </is>
      </c>
      <c r="D14" s="4" t="inlineStr">
        <is>
          <t>calculateRentalCost</t>
        </is>
      </c>
      <c r="E14" s="7" t="inlineStr">
        <is>
          <t>F_RENT_CALC</t>
        </is>
      </c>
      <c r="F14" s="7" t="inlineStr">
        <is>
          <t>F_RENT_CALC</t>
        </is>
      </c>
      <c r="G14" s="8" t="inlineStr">
        <is>
          <t>Tính chi phí thuê và kiểm tra số dư ví theo Decision Table (BVA 1h - 48h, trạng thái acc, đủ/thiếu ví)</t>
        </is>
      </c>
      <c r="H14" s="8" t="inlineStr">
        <is>
          <t>Có tài khoản game trong CSDL, xác định giá thuê/giờ và số dư ví</t>
        </is>
      </c>
    </row>
    <row r="15" ht="24" customHeight="1">
      <c r="A15" s="7" t="n">
        <v>5</v>
      </c>
      <c r="B15" s="4" t="inlineStr">
        <is>
          <t>Module 5: Quản trị kho tài khoản</t>
        </is>
      </c>
      <c r="C15" s="4" t="inlineStr">
        <is>
          <t>validation.js</t>
        </is>
      </c>
      <c r="D15" s="4" t="inlineStr">
        <is>
          <t>validateProductUC1</t>
        </is>
      </c>
      <c r="E15" s="7" t="inlineStr">
        <is>
          <t>F_ADM_PROD</t>
        </is>
      </c>
      <c r="F15" s="7" t="inlineStr">
        <is>
          <t>F_ADM_PROD</t>
        </is>
      </c>
      <c r="G15" s="8" t="inlineStr">
        <is>
          <t>Kiểm tra form Thêm tài khoản game chuẩn 100% tài liệu đặc tả đề bài UC1_Add New Product (BR1-BR6)</t>
        </is>
      </c>
      <c r="H15" s="8" t="inlineStr">
        <is>
          <t>Quản trị viên mở modal Thêm mới tài khoản trong kho</t>
        </is>
      </c>
    </row>
    <row r="16" ht="24" customHeight="1">
      <c r="A16" s="7" t="n">
        <v>6</v>
      </c>
      <c r="B16" s="4" t="inlineStr">
        <is>
          <t>Module 6: Hoàn tiền &amp; Gia hạn</t>
        </is>
      </c>
      <c r="C16" s="4" t="inlineStr">
        <is>
          <t>validation.js</t>
        </is>
      </c>
      <c r="D16" s="4" t="inlineStr">
        <is>
          <t>calculateRefundAndExtension</t>
        </is>
      </c>
      <c r="E16" s="7" t="inlineStr">
        <is>
          <t>F_REF_EXT</t>
        </is>
      </c>
      <c r="F16" s="7" t="inlineStr">
        <is>
          <t>F_REF_EXT</t>
        </is>
      </c>
      <c r="G16" s="8" t="inlineStr">
        <is>
          <t>Tính hoàn tiền 50% khi trả sớm, hoàn tiền 100% khi khiếu nại được duyệt, và gia hạn thêm giờ thuê</t>
        </is>
      </c>
      <c r="H16" s="8" t="inlineStr">
        <is>
          <t>Đơn thuê đang tồn tại trong hệ thống kèm thông tin ca chơi</t>
        </is>
      </c>
    </row>
    <row r="17" ht="24" customHeight="1">
      <c r="A17" s="7" t="n">
        <v>7</v>
      </c>
      <c r="B17" s="4" t="inlineStr">
        <is>
          <t>Module 7: Tự động đổi mật khẩu</t>
        </is>
      </c>
      <c r="C17" s="4" t="inlineStr">
        <is>
          <t>validation.js</t>
        </is>
      </c>
      <c r="D17" s="4" t="inlineStr">
        <is>
          <t>generateRandomPassword</t>
        </is>
      </c>
      <c r="E17" s="7" t="inlineStr">
        <is>
          <t>F_AUTO_PASS</t>
        </is>
      </c>
      <c r="F17" s="7" t="inlineStr">
        <is>
          <t>F_AUTO_PASS</t>
        </is>
      </c>
      <c r="G17" s="8" t="inlineStr">
        <is>
          <t>Tự động sinh mật khẩu ngẫu nhiên bảo mật cao (12-14 ký tự) khi thu hồi nick hết giờ, chống trùng pass cũ</t>
        </is>
      </c>
      <c r="H17" s="8" t="inlineStr">
        <is>
          <t>Ca thuê hết hạn hoặc Admin thu hồi bảo mật</t>
        </is>
      </c>
    </row>
    <row r="18" ht="24" customHeight="1">
      <c r="A18" s="7" t="n">
        <v>8</v>
      </c>
      <c r="B18" s="4" t="inlineStr">
        <is>
          <t>Module 8: Đổi mật khẩu cá nhân</t>
        </is>
      </c>
      <c r="C18" s="4" t="inlineStr">
        <is>
          <t>validation.js</t>
        </is>
      </c>
      <c r="D18" s="4" t="inlineStr">
        <is>
          <t>validatePasswordChange</t>
        </is>
      </c>
      <c r="E18" s="7" t="inlineStr">
        <is>
          <t>F_AUTH_CHG_PWD</t>
        </is>
      </c>
      <c r="F18" s="7" t="inlineStr">
        <is>
          <t>F_AUTH_CHG_PWD</t>
        </is>
      </c>
      <c r="G18" s="8" t="inlineStr">
        <is>
          <t>Kiểm tra hợp lệ form đổi mật khẩu khách thuê (BVA 5-6 ký tự, mật khẩu cũ, khớp mật khẩu xác nhận)</t>
        </is>
      </c>
      <c r="H18" s="8" t="inlineStr">
        <is>
          <t>Khách hàng đã đăng nhập tài khoản cá nhân</t>
        </is>
      </c>
    </row>
    <row r="19" ht="24" customHeight="1">
      <c r="A19" s="7" t="n">
        <v>9</v>
      </c>
      <c r="B19" s="4" t="inlineStr">
        <is>
          <t>Module 9: Quản lý khách hàng CRM</t>
        </is>
      </c>
      <c r="C19" s="4" t="inlineStr">
        <is>
          <t>validation.js / context</t>
        </is>
      </c>
      <c r="D19" s="4" t="inlineStr">
        <is>
          <t>crudAndAutoSyncCRM</t>
        </is>
      </c>
      <c r="E19" s="7" t="inlineStr">
        <is>
          <t>F_CRM_SYNC</t>
        </is>
      </c>
      <c r="F19" s="7" t="inlineStr">
        <is>
          <t>F_CRM_SYNC</t>
        </is>
      </c>
      <c r="G19" s="8" t="inlineStr">
        <is>
          <t>Thao tác CRUD hồ sơ khách hàng và tự động đồng bộ khách mới khi đăng ký</t>
        </is>
      </c>
      <c r="H19" s="8" t="inlineStr">
        <is>
          <t>Đăng ký tài khoản ngoài trang chủ hoặc thao tác trong trang Quản lý khách hàng</t>
        </is>
      </c>
    </row>
    <row r="20" ht="24" customHeight="1">
      <c r="A20" s="7" t="n">
        <v>10</v>
      </c>
      <c r="B20" s="4" t="inlineStr">
        <is>
          <t>Module 10: Phân tách Yêu thích</t>
        </is>
      </c>
      <c r="C20" s="4" t="inlineStr">
        <is>
          <t>favoriteUtils.js</t>
        </is>
      </c>
      <c r="D20" s="4" t="inlineStr">
        <is>
          <t>getFavoritesKey</t>
        </is>
      </c>
      <c r="E20" s="7" t="inlineStr">
        <is>
          <t>F_FAV_SEP</t>
        </is>
      </c>
      <c r="F20" s="7" t="inlineStr">
        <is>
          <t>F_FAV_SEP</t>
        </is>
      </c>
      <c r="G20" s="8" t="inlineStr">
        <is>
          <t>Xác định chính xác storage key phân tách danh sách yêu thích độc lập theo User ID</t>
        </is>
      </c>
      <c r="H20" s="8" t="inlineStr">
        <is>
          <t>Người dùng thao tác thả tim tài khoản game hoặc đăng nhập</t>
        </is>
      </c>
    </row>
  </sheetData>
  <mergeCells count="9">
    <mergeCell ref="A5:D5"/>
    <mergeCell ref="A6:D6"/>
    <mergeCell ref="A4:D4"/>
    <mergeCell ref="A2:H2"/>
    <mergeCell ref="E4:H4"/>
    <mergeCell ref="E6:H6"/>
    <mergeCell ref="A7:D7"/>
    <mergeCell ref="E7:H7"/>
    <mergeCell ref="E5:H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2:I34"/>
  <sheetViews>
    <sheetView workbookViewId="0">
      <selection activeCell="A1" sqref="A1"/>
    </sheetView>
  </sheetViews>
  <sheetFormatPr baseColWidth="8" defaultRowHeight="15"/>
  <cols>
    <col width="8" customWidth="1" min="1" max="1"/>
    <col width="24" customWidth="1" min="2" max="2"/>
    <col width="14" customWidth="1" min="3" max="3"/>
    <col width="14" customWidth="1" min="4" max="4"/>
    <col width="14" customWidth="1" min="5" max="5"/>
    <col width="14" customWidth="1" min="6" max="6"/>
    <col width="14" customWidth="1" min="7" max="7"/>
    <col width="14" customWidth="1" min="8" max="8"/>
    <col width="18" customWidth="1" min="9" max="9"/>
  </cols>
  <sheetData>
    <row r="2" ht="40" customHeight="1">
      <c r="A2" s="1" t="inlineStr">
        <is>
          <t>UNIT TEST REPORT</t>
        </is>
      </c>
    </row>
    <row r="4">
      <c r="A4" s="10" t="inlineStr">
        <is>
          <t>Project Name</t>
        </is>
      </c>
      <c r="B4" s="12">
        <f>Cover!B4</f>
        <v/>
      </c>
      <c r="C4" s="11" t="n"/>
      <c r="D4" s="10" t="inlineStr">
        <is>
          <t>Creator</t>
        </is>
      </c>
      <c r="E4" s="11" t="n"/>
      <c r="F4" s="14">
        <f>Cover!F4</f>
        <v/>
      </c>
      <c r="G4" s="11" t="n"/>
      <c r="H4" s="11" t="n"/>
      <c r="I4" s="11" t="n"/>
    </row>
    <row r="5">
      <c r="A5" s="10" t="inlineStr">
        <is>
          <t>Project Code</t>
        </is>
      </c>
      <c r="B5" s="12">
        <f>Cover!B5</f>
        <v/>
      </c>
      <c r="C5" s="11" t="n"/>
      <c r="D5" s="10" t="inlineStr">
        <is>
          <t>Reviewer/Approver</t>
        </is>
      </c>
      <c r="E5" s="11" t="n"/>
      <c r="F5" s="14">
        <f>Cover!F5</f>
        <v/>
      </c>
      <c r="G5" s="11" t="n"/>
      <c r="H5" s="11" t="n"/>
      <c r="I5" s="11" t="n"/>
    </row>
    <row r="6">
      <c r="A6" s="10" t="inlineStr">
        <is>
          <t>Document Code</t>
        </is>
      </c>
      <c r="B6" s="12">
        <f>B5&amp;"_"&amp;"Test Report"&amp;"_"&amp;"v1.0"</f>
        <v/>
      </c>
      <c r="C6" s="11" t="n"/>
      <c r="D6" s="10" t="inlineStr">
        <is>
          <t>Issue Date</t>
        </is>
      </c>
      <c r="E6" s="11" t="n"/>
      <c r="F6" s="14" t="inlineStr">
        <is>
          <t>26/09/2026</t>
        </is>
      </c>
      <c r="G6" s="11" t="n"/>
      <c r="H6" s="11" t="n"/>
      <c r="I6" s="11" t="n"/>
    </row>
    <row r="7" ht="35" customHeight="1">
      <c r="A7" s="10" t="inlineStr">
        <is>
          <t>Notes</t>
        </is>
      </c>
      <c r="B7" s="8" t="inlineStr">
        <is>
          <t>Báo cáo tổng hợp kết quả thực thi 100 Unit Test Cases cho 10 Module chức năng cốt lõi của hệ thống GameRent (Nhóm 15) theo biểu mẫu chuẩn. Toàn bộ 100 ca kiểm thử đều đạt kết quả Pass 100%.</t>
        </is>
      </c>
      <c r="C7" s="11" t="n"/>
      <c r="D7" s="11" t="n"/>
      <c r="E7" s="11" t="n"/>
      <c r="F7" s="11" t="n"/>
      <c r="G7" s="11" t="n"/>
      <c r="H7" s="11" t="n"/>
      <c r="I7" s="11" t="n"/>
    </row>
    <row r="11" ht="24" customHeight="1">
      <c r="A11" s="6" t="inlineStr">
        <is>
          <t>No</t>
        </is>
      </c>
      <c r="B11" s="6" t="inlineStr">
        <is>
          <t>Function code</t>
        </is>
      </c>
      <c r="C11" s="6" t="inlineStr">
        <is>
          <t>Passed</t>
        </is>
      </c>
      <c r="D11" s="6" t="inlineStr">
        <is>
          <t>Failed</t>
        </is>
      </c>
      <c r="E11" s="6" t="inlineStr">
        <is>
          <t>Untested</t>
        </is>
      </c>
      <c r="F11" s="6" t="inlineStr">
        <is>
          <t>N</t>
        </is>
      </c>
      <c r="G11" s="6" t="inlineStr">
        <is>
          <t>A</t>
        </is>
      </c>
      <c r="H11" s="6" t="inlineStr">
        <is>
          <t>B</t>
        </is>
      </c>
      <c r="I11" s="6" t="inlineStr">
        <is>
          <t>Total Test Cases</t>
        </is>
      </c>
    </row>
    <row r="12" ht="22" customHeight="1">
      <c r="A12" s="7" t="n">
        <v>1</v>
      </c>
      <c r="B12" s="4" t="inlineStr">
        <is>
          <t>F_AUTH_REG</t>
        </is>
      </c>
      <c r="C12" s="7">
        <f>'F_AUTH_REG'!A7</f>
        <v/>
      </c>
      <c r="D12" s="7">
        <f>'F_AUTH_REG'!C7</f>
        <v/>
      </c>
      <c r="E12" s="7">
        <f>'F_AUTH_REG'!E7</f>
        <v/>
      </c>
      <c r="F12" s="7">
        <f>'F_AUTH_REG'!K7</f>
        <v/>
      </c>
      <c r="G12" s="7">
        <f>'F_AUTH_REG'!L7</f>
        <v/>
      </c>
      <c r="H12" s="7">
        <f>'F_AUTH_REG'!M7</f>
        <v/>
      </c>
      <c r="I12" s="7">
        <f>'F_AUTH_REG'!N7</f>
        <v/>
      </c>
    </row>
    <row r="13" ht="22" customHeight="1">
      <c r="A13" s="7" t="n">
        <v>2</v>
      </c>
      <c r="B13" s="4" t="inlineStr">
        <is>
          <t>F_AUTH_LOGIN</t>
        </is>
      </c>
      <c r="C13" s="7">
        <f>'F_AUTH_LOGIN'!A7</f>
        <v/>
      </c>
      <c r="D13" s="7">
        <f>'F_AUTH_LOGIN'!C7</f>
        <v/>
      </c>
      <c r="E13" s="7">
        <f>'F_AUTH_LOGIN'!E7</f>
        <v/>
      </c>
      <c r="F13" s="7">
        <f>'F_AUTH_LOGIN'!K7</f>
        <v/>
      </c>
      <c r="G13" s="7">
        <f>'F_AUTH_LOGIN'!L7</f>
        <v/>
      </c>
      <c r="H13" s="7">
        <f>'F_AUTH_LOGIN'!M7</f>
        <v/>
      </c>
      <c r="I13" s="7">
        <f>'F_AUTH_LOGIN'!N7</f>
        <v/>
      </c>
    </row>
    <row r="14" ht="22" customHeight="1">
      <c r="A14" s="7" t="n">
        <v>3</v>
      </c>
      <c r="B14" s="4" t="inlineStr">
        <is>
          <t>F_WAL_DEP</t>
        </is>
      </c>
      <c r="C14" s="7">
        <f>'F_WAL_DEP'!A7</f>
        <v/>
      </c>
      <c r="D14" s="7">
        <f>'F_WAL_DEP'!C7</f>
        <v/>
      </c>
      <c r="E14" s="7">
        <f>'F_WAL_DEP'!E7</f>
        <v/>
      </c>
      <c r="F14" s="7">
        <f>'F_WAL_DEP'!K7</f>
        <v/>
      </c>
      <c r="G14" s="7">
        <f>'F_WAL_DEP'!L7</f>
        <v/>
      </c>
      <c r="H14" s="7">
        <f>'F_WAL_DEP'!M7</f>
        <v/>
      </c>
      <c r="I14" s="7">
        <f>'F_WAL_DEP'!N7</f>
        <v/>
      </c>
    </row>
    <row r="15" ht="22" customHeight="1">
      <c r="A15" s="7" t="n">
        <v>4</v>
      </c>
      <c r="B15" s="4" t="inlineStr">
        <is>
          <t>F_RENT_CALC</t>
        </is>
      </c>
      <c r="C15" s="7">
        <f>'F_RENT_CALC'!A7</f>
        <v/>
      </c>
      <c r="D15" s="7">
        <f>'F_RENT_CALC'!C7</f>
        <v/>
      </c>
      <c r="E15" s="7">
        <f>'F_RENT_CALC'!E7</f>
        <v/>
      </c>
      <c r="F15" s="7">
        <f>'F_RENT_CALC'!K7</f>
        <v/>
      </c>
      <c r="G15" s="7">
        <f>'F_RENT_CALC'!L7</f>
        <v/>
      </c>
      <c r="H15" s="7">
        <f>'F_RENT_CALC'!M7</f>
        <v/>
      </c>
      <c r="I15" s="7">
        <f>'F_RENT_CALC'!N7</f>
        <v/>
      </c>
    </row>
    <row r="16" ht="22" customHeight="1">
      <c r="A16" s="7" t="n">
        <v>5</v>
      </c>
      <c r="B16" s="4" t="inlineStr">
        <is>
          <t>F_ADM_PROD</t>
        </is>
      </c>
      <c r="C16" s="7">
        <f>'F_ADM_PROD'!A7</f>
        <v/>
      </c>
      <c r="D16" s="7">
        <f>'F_ADM_PROD'!C7</f>
        <v/>
      </c>
      <c r="E16" s="7">
        <f>'F_ADM_PROD'!E7</f>
        <v/>
      </c>
      <c r="F16" s="7">
        <f>'F_ADM_PROD'!K7</f>
        <v/>
      </c>
      <c r="G16" s="7">
        <f>'F_ADM_PROD'!L7</f>
        <v/>
      </c>
      <c r="H16" s="7">
        <f>'F_ADM_PROD'!M7</f>
        <v/>
      </c>
      <c r="I16" s="7">
        <f>'F_ADM_PROD'!N7</f>
        <v/>
      </c>
    </row>
    <row r="17" ht="22" customHeight="1">
      <c r="A17" s="7" t="n">
        <v>6</v>
      </c>
      <c r="B17" s="4" t="inlineStr">
        <is>
          <t>F_REF_EXT</t>
        </is>
      </c>
      <c r="C17" s="7">
        <f>'F_REF_EXT'!A7</f>
        <v/>
      </c>
      <c r="D17" s="7">
        <f>'F_REF_EXT'!C7</f>
        <v/>
      </c>
      <c r="E17" s="7">
        <f>'F_REF_EXT'!E7</f>
        <v/>
      </c>
      <c r="F17" s="7">
        <f>'F_REF_EXT'!K7</f>
        <v/>
      </c>
      <c r="G17" s="7">
        <f>'F_REF_EXT'!L7</f>
        <v/>
      </c>
      <c r="H17" s="7">
        <f>'F_REF_EXT'!M7</f>
        <v/>
      </c>
      <c r="I17" s="7">
        <f>'F_REF_EXT'!N7</f>
        <v/>
      </c>
    </row>
    <row r="18" ht="22" customHeight="1">
      <c r="A18" s="7" t="n">
        <v>7</v>
      </c>
      <c r="B18" s="4" t="inlineStr">
        <is>
          <t>F_AUTO_PASS</t>
        </is>
      </c>
      <c r="C18" s="7">
        <f>'F_AUTO_PASS'!A7</f>
        <v/>
      </c>
      <c r="D18" s="7">
        <f>'F_AUTO_PASS'!C7</f>
        <v/>
      </c>
      <c r="E18" s="7">
        <f>'F_AUTO_PASS'!E7</f>
        <v/>
      </c>
      <c r="F18" s="7">
        <f>'F_AUTO_PASS'!K7</f>
        <v/>
      </c>
      <c r="G18" s="7">
        <f>'F_AUTO_PASS'!L7</f>
        <v/>
      </c>
      <c r="H18" s="7">
        <f>'F_AUTO_PASS'!M7</f>
        <v/>
      </c>
      <c r="I18" s="7">
        <f>'F_AUTO_PASS'!N7</f>
        <v/>
      </c>
    </row>
    <row r="19" ht="22" customHeight="1">
      <c r="A19" s="7" t="n">
        <v>8</v>
      </c>
      <c r="B19" s="4" t="inlineStr">
        <is>
          <t>F_AUTH_CHG_PWD</t>
        </is>
      </c>
      <c r="C19" s="7">
        <f>'F_AUTH_CHG_PWD'!A7</f>
        <v/>
      </c>
      <c r="D19" s="7">
        <f>'F_AUTH_CHG_PWD'!C7</f>
        <v/>
      </c>
      <c r="E19" s="7">
        <f>'F_AUTH_CHG_PWD'!E7</f>
        <v/>
      </c>
      <c r="F19" s="7">
        <f>'F_AUTH_CHG_PWD'!K7</f>
        <v/>
      </c>
      <c r="G19" s="7">
        <f>'F_AUTH_CHG_PWD'!L7</f>
        <v/>
      </c>
      <c r="H19" s="7">
        <f>'F_AUTH_CHG_PWD'!M7</f>
        <v/>
      </c>
      <c r="I19" s="7">
        <f>'F_AUTH_CHG_PWD'!N7</f>
        <v/>
      </c>
    </row>
    <row r="20" ht="22" customHeight="1">
      <c r="A20" s="7" t="n">
        <v>9</v>
      </c>
      <c r="B20" s="4" t="inlineStr">
        <is>
          <t>F_CRM_SYNC</t>
        </is>
      </c>
      <c r="C20" s="7">
        <f>'F_CRM_SYNC'!A7</f>
        <v/>
      </c>
      <c r="D20" s="7">
        <f>'F_CRM_SYNC'!C7</f>
        <v/>
      </c>
      <c r="E20" s="7">
        <f>'F_CRM_SYNC'!E7</f>
        <v/>
      </c>
      <c r="F20" s="7">
        <f>'F_CRM_SYNC'!K7</f>
        <v/>
      </c>
      <c r="G20" s="7">
        <f>'F_CRM_SYNC'!L7</f>
        <v/>
      </c>
      <c r="H20" s="7">
        <f>'F_CRM_SYNC'!M7</f>
        <v/>
      </c>
      <c r="I20" s="7">
        <f>'F_CRM_SYNC'!N7</f>
        <v/>
      </c>
    </row>
    <row r="21" ht="22" customHeight="1">
      <c r="A21" s="7" t="n">
        <v>10</v>
      </c>
      <c r="B21" s="4" t="inlineStr">
        <is>
          <t>F_FAV_SEP</t>
        </is>
      </c>
      <c r="C21" s="7">
        <f>'F_FAV_SEP'!A7</f>
        <v/>
      </c>
      <c r="D21" s="7">
        <f>'F_FAV_SEP'!C7</f>
        <v/>
      </c>
      <c r="E21" s="7">
        <f>'F_FAV_SEP'!E7</f>
        <v/>
      </c>
      <c r="F21" s="7">
        <f>'F_FAV_SEP'!K7</f>
        <v/>
      </c>
      <c r="G21" s="7">
        <f>'F_FAV_SEP'!L7</f>
        <v/>
      </c>
      <c r="H21" s="7">
        <f>'F_FAV_SEP'!M7</f>
        <v/>
      </c>
      <c r="I21" s="7">
        <f>'F_FAV_SEP'!N7</f>
        <v/>
      </c>
    </row>
    <row r="22" ht="24" customHeight="1">
      <c r="B22" s="6" t="inlineStr">
        <is>
          <t>Sub total</t>
        </is>
      </c>
      <c r="C22" s="6">
        <f>SUM(C12:C21)</f>
        <v/>
      </c>
      <c r="D22" s="6">
        <f>SUM(D12:D21)</f>
        <v/>
      </c>
      <c r="E22" s="6">
        <f>SUM(E12:E21)</f>
        <v/>
      </c>
      <c r="F22" s="6">
        <f>SUM(F12:F21)</f>
        <v/>
      </c>
      <c r="G22" s="6">
        <f>SUM(G12:G21)</f>
        <v/>
      </c>
      <c r="H22" s="6">
        <f>SUM(H12:H21)</f>
        <v/>
      </c>
      <c r="I22" s="6">
        <f>SUM(I12:I21)</f>
        <v/>
      </c>
    </row>
    <row r="24" ht="22" customHeight="1">
      <c r="B24" s="5" t="inlineStr">
        <is>
          <t>Test coverage</t>
        </is>
      </c>
      <c r="D24" s="15">
        <f>(C22+D22)*100/(I22)</f>
        <v/>
      </c>
      <c r="E24" s="16" t="inlineStr">
        <is>
          <t>%</t>
        </is>
      </c>
    </row>
    <row r="25" ht="22" customHeight="1">
      <c r="B25" s="5" t="inlineStr">
        <is>
          <t>Test successful coverage</t>
        </is>
      </c>
      <c r="D25" s="15">
        <f>C22*100/(I22)</f>
        <v/>
      </c>
      <c r="E25" s="16" t="inlineStr">
        <is>
          <t>%</t>
        </is>
      </c>
    </row>
    <row r="26" ht="22" customHeight="1">
      <c r="B26" s="5" t="inlineStr">
        <is>
          <t>Normal case</t>
        </is>
      </c>
      <c r="D26" s="15">
        <f>F22*100/I22</f>
        <v/>
      </c>
      <c r="E26" s="16" t="inlineStr">
        <is>
          <t>%</t>
        </is>
      </c>
    </row>
    <row r="27" ht="22" customHeight="1">
      <c r="B27" s="5" t="inlineStr">
        <is>
          <t>Abnormal case</t>
        </is>
      </c>
      <c r="D27" s="15">
        <f>G22*100/I22</f>
        <v/>
      </c>
      <c r="E27" s="16" t="inlineStr">
        <is>
          <t>%</t>
        </is>
      </c>
    </row>
    <row r="28" ht="22" customHeight="1">
      <c r="B28" s="5" t="inlineStr">
        <is>
          <t>Boundary case</t>
        </is>
      </c>
      <c r="D28" s="15">
        <f>H22*100/I22</f>
        <v/>
      </c>
      <c r="E28" s="16" t="inlineStr">
        <is>
          <t>%</t>
        </is>
      </c>
    </row>
    <row r="30">
      <c r="B30" s="17" t="inlineStr">
        <is>
          <t>ĐÁNH GIÁ CHẤT LƯỢNG KIỂM THỬ ĐƠN VỊ (UNIT TEST EVALUATION):</t>
        </is>
      </c>
    </row>
    <row r="31" ht="20" customHeight="1">
      <c r="B31" s="18" t="inlineStr">
        <is>
          <t>✓ 100/100 Unit Test Cases đạt kết quả Pass 100% trên bộ công cụ kiểm thử Vitest v5.0.</t>
        </is>
      </c>
    </row>
    <row r="32" ht="20" customHeight="1">
      <c r="B32" s="18" t="inlineStr">
        <is>
          <t>✓ Áp dụng toàn diện kỹ thuật Phân tích giá trị biên (BVA), Phân vùng tương đương (EP) và Bảng quyết định (Decision Table).</t>
        </is>
      </c>
    </row>
    <row r="33" ht="20" customHeight="1">
      <c r="B33" s="18" t="inlineStr">
        <is>
          <t>✓ Đảm bảo độ bao phủ đầy đủ cả 3 loại ca kiểm thử: Normal Cases, Abnormal Cases và Boundary Cases.</t>
        </is>
      </c>
    </row>
    <row r="34" ht="20" customHeight="1">
      <c r="B34" s="18" t="inlineStr">
        <is>
          <t>✓ Tính toàn vẹn logic của các hàm cốt lõi (xác thực form, ví tiền, thuê nick, hoàn tiền, sinh mật khẩu, đồng bộ CRM) được chứng minh tin cậy.</t>
        </is>
      </c>
    </row>
  </sheetData>
  <mergeCells count="16">
    <mergeCell ref="D6:E6"/>
    <mergeCell ref="B6:C6"/>
    <mergeCell ref="B30:I30"/>
    <mergeCell ref="A2:I2"/>
    <mergeCell ref="B32:I32"/>
    <mergeCell ref="B7:I7"/>
    <mergeCell ref="B33:I33"/>
    <mergeCell ref="B5:C5"/>
    <mergeCell ref="F4:I4"/>
    <mergeCell ref="B34:I34"/>
    <mergeCell ref="D5:E5"/>
    <mergeCell ref="D4:E4"/>
    <mergeCell ref="B31:I31"/>
    <mergeCell ref="F5:I5"/>
    <mergeCell ref="B4:C4"/>
    <mergeCell ref="F6:I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T51"/>
  <sheetViews>
    <sheetView workbookViewId="0">
      <selection activeCell="A1" sqref="A1"/>
    </sheetView>
  </sheetViews>
  <sheetFormatPr baseColWidth="8" defaultRowHeight="15"/>
  <cols>
    <col width="12" customWidth="1" min="1" max="1"/>
    <col width="24" customWidth="1" min="2" max="2"/>
    <col width="12" customWidth="1" min="3" max="3"/>
    <col width="48"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s>
  <sheetData>
    <row r="2" ht="22" customHeight="1">
      <c r="A2" s="5" t="inlineStr">
        <is>
          <t>Function Code</t>
        </is>
      </c>
      <c r="C2" s="19" t="inlineStr">
        <is>
          <t>F_AUTH_REG</t>
        </is>
      </c>
      <c r="E2" s="5" t="inlineStr">
        <is>
          <t>Function Name</t>
        </is>
      </c>
      <c r="G2" s="18" t="inlineStr">
        <is>
          <t>validateRegistration</t>
        </is>
      </c>
    </row>
    <row r="3" ht="22" customHeight="1">
      <c r="A3" s="5" t="inlineStr">
        <is>
          <t>Created By</t>
        </is>
      </c>
      <c r="C3" s="18" t="inlineStr">
        <is>
          <t>Nhóm 15</t>
        </is>
      </c>
      <c r="E3" s="5" t="inlineStr">
        <is>
          <t>Executed By</t>
        </is>
      </c>
      <c r="G3" s="18" t="inlineStr">
        <is>
          <t>Nhóm 15 (Automation)</t>
        </is>
      </c>
    </row>
    <row r="4" ht="22" customHeight="1">
      <c r="A4" s="5" t="inlineStr">
        <is>
          <t>Lines of code</t>
        </is>
      </c>
      <c r="C4" s="18" t="n">
        <v>52</v>
      </c>
    </row>
    <row r="5" ht="22" customHeight="1">
      <c r="A5" s="5" t="inlineStr">
        <is>
          <t>Test requirement</t>
        </is>
      </c>
      <c r="C5" s="18" t="inlineStr">
        <is>
          <t>Kiểm tra hợp lệ form đăng ký tài khoản (BVA 4-30 ký tự, SĐT 10 chữ số, mật khẩu &gt;= 6 ký tự, kiểm tra trùng lặp)</t>
        </is>
      </c>
    </row>
    <row r="6" ht="22" customHeight="1">
      <c r="A6" s="6" t="inlineStr">
        <is>
          <t>Passed</t>
        </is>
      </c>
      <c r="C6" s="6" t="inlineStr">
        <is>
          <t>Failed</t>
        </is>
      </c>
      <c r="E6" s="6" t="inlineStr">
        <is>
          <t>Untested</t>
        </is>
      </c>
      <c r="K6" s="6" t="inlineStr">
        <is>
          <t>N</t>
        </is>
      </c>
      <c r="L6" s="6" t="inlineStr">
        <is>
          <t>A</t>
        </is>
      </c>
      <c r="M6" s="6" t="inlineStr">
        <is>
          <t>B</t>
        </is>
      </c>
      <c r="N6" s="6" t="inlineStr">
        <is>
          <t>Total Test Cases</t>
        </is>
      </c>
    </row>
    <row r="7" ht="24" customHeight="1">
      <c r="A7" s="20">
        <f>COUNTIF(E49:T49,"P")</f>
        <v/>
      </c>
      <c r="C7" s="20">
        <f>COUNTIF(E49:T49,"F")</f>
        <v/>
      </c>
      <c r="E7" s="20">
        <f>SUM(N7,-A7,-C7)</f>
        <v/>
      </c>
      <c r="K7" s="20">
        <f>COUNTIF(E48:T48,"N")</f>
        <v/>
      </c>
      <c r="L7" s="20">
        <f>COUNTIF(E48:T48,"A")</f>
        <v/>
      </c>
      <c r="M7" s="20">
        <f>COUNTIF(E48:T48,"B")</f>
        <v/>
      </c>
      <c r="N7" s="20">
        <f>COUNTA(E9:T9)</f>
        <v/>
      </c>
    </row>
    <row r="9" ht="24" customHeight="1">
      <c r="E9" s="6" t="inlineStr">
        <is>
          <t>UTCID01</t>
        </is>
      </c>
      <c r="F9" s="6" t="inlineStr">
        <is>
          <t>UTCID02</t>
        </is>
      </c>
      <c r="G9" s="6" t="inlineStr">
        <is>
          <t>UTCID03</t>
        </is>
      </c>
      <c r="H9" s="6" t="inlineStr">
        <is>
          <t>UTCID04</t>
        </is>
      </c>
      <c r="I9" s="6" t="inlineStr">
        <is>
          <t>UTCID05</t>
        </is>
      </c>
      <c r="J9" s="6" t="inlineStr">
        <is>
          <t>UTCID06</t>
        </is>
      </c>
      <c r="K9" s="6" t="inlineStr">
        <is>
          <t>UTCID07</t>
        </is>
      </c>
      <c r="L9" s="6" t="inlineStr">
        <is>
          <t>UTCID08</t>
        </is>
      </c>
      <c r="M9" s="6" t="inlineStr">
        <is>
          <t>UTCID09</t>
        </is>
      </c>
      <c r="N9" s="6" t="inlineStr">
        <is>
          <t>UTCID10</t>
        </is>
      </c>
      <c r="O9" s="6" t="inlineStr">
        <is>
          <t>UTCID11</t>
        </is>
      </c>
      <c r="P9" s="6" t="inlineStr">
        <is>
          <t>UTCID12</t>
        </is>
      </c>
      <c r="Q9" s="6" t="inlineStr">
        <is>
          <t>UTCID13</t>
        </is>
      </c>
      <c r="R9" s="6" t="inlineStr">
        <is>
          <t>UTCID14</t>
        </is>
      </c>
      <c r="S9" s="6" t="inlineStr">
        <is>
          <t>UTCID15</t>
        </is>
      </c>
      <c r="T9" s="6" t="inlineStr">
        <is>
          <t>UTCID16</t>
        </is>
      </c>
    </row>
    <row r="10" ht="22" customHeight="1">
      <c r="A10" s="6" t="inlineStr">
        <is>
          <t>Condition</t>
        </is>
      </c>
      <c r="B10" s="6" t="inlineStr">
        <is>
          <t>Precondition</t>
        </is>
      </c>
      <c r="D10" s="6" t="inlineStr">
        <is>
          <t>N/A</t>
        </is>
      </c>
      <c r="E10" s="21" t="n"/>
      <c r="F10" s="21" t="n"/>
      <c r="G10" s="21" t="n"/>
      <c r="H10" s="21" t="n"/>
      <c r="I10" s="21" t="n"/>
      <c r="J10" s="21" t="n"/>
      <c r="K10" s="21" t="n"/>
      <c r="L10" s="21" t="n"/>
      <c r="M10" s="21" t="n"/>
      <c r="N10" s="21" t="n"/>
      <c r="O10" s="21" t="n"/>
      <c r="P10" s="21" t="n"/>
      <c r="Q10" s="21" t="n"/>
      <c r="R10" s="21" t="n"/>
      <c r="S10" s="21" t="n"/>
      <c r="T10" s="21" t="n"/>
    </row>
    <row r="12" ht="22" customHeight="1">
      <c r="A12" s="22" t="n"/>
      <c r="B12" s="23" t="inlineStr">
        <is>
          <t>Username</t>
        </is>
      </c>
      <c r="C12" s="22" t="n"/>
      <c r="D12" s="22" t="n"/>
      <c r="E12" s="22" t="n"/>
      <c r="F12" s="22" t="n"/>
      <c r="G12" s="22" t="n"/>
      <c r="H12" s="22" t="n"/>
      <c r="I12" s="22" t="n"/>
      <c r="J12" s="22" t="n"/>
      <c r="K12" s="22" t="n"/>
      <c r="L12" s="22" t="n"/>
      <c r="M12" s="22" t="n"/>
      <c r="N12" s="22" t="n"/>
      <c r="O12" s="22" t="n"/>
      <c r="P12" s="22" t="n"/>
      <c r="Q12" s="22" t="n"/>
      <c r="R12" s="22" t="n"/>
      <c r="S12" s="22" t="n"/>
      <c r="T12" s="22" t="n"/>
    </row>
    <row r="13" ht="21" customHeight="1">
      <c r="A13" s="11" t="n"/>
      <c r="B13" s="11" t="n"/>
      <c r="C13" s="11" t="n"/>
      <c r="D13" s="4" t="inlineStr">
        <is>
          <t>Hợp lệ ('user_valid')</t>
        </is>
      </c>
      <c r="E13" s="7" t="inlineStr">
        <is>
          <t>O</t>
        </is>
      </c>
      <c r="F13" s="7" t="n"/>
      <c r="G13" s="7" t="n"/>
      <c r="H13" s="7" t="n"/>
      <c r="I13" s="7" t="n"/>
      <c r="J13" s="7" t="n"/>
      <c r="K13" s="7" t="n"/>
      <c r="L13" s="7" t="n"/>
      <c r="M13" s="7" t="n"/>
      <c r="N13" s="7" t="inlineStr">
        <is>
          <t>O</t>
        </is>
      </c>
      <c r="O13" s="7" t="n"/>
      <c r="P13" s="7" t="n"/>
      <c r="Q13" s="7" t="n"/>
      <c r="R13" s="7" t="n"/>
      <c r="S13" s="7" t="n"/>
      <c r="T13" s="7" t="inlineStr">
        <is>
          <t>O</t>
        </is>
      </c>
    </row>
    <row r="14" ht="21" customHeight="1">
      <c r="A14" s="11" t="n"/>
      <c r="B14" s="11" t="n"/>
      <c r="C14" s="11" t="n"/>
      <c r="D14" s="4" t="inlineStr">
        <is>
          <t>Dưới biên min (3 ký tự: 'abc')</t>
        </is>
      </c>
      <c r="E14" s="7" t="n"/>
      <c r="F14" s="7" t="inlineStr">
        <is>
          <t>O</t>
        </is>
      </c>
      <c r="G14" s="7" t="n"/>
      <c r="H14" s="7" t="n"/>
      <c r="I14" s="7" t="n"/>
      <c r="J14" s="7" t="n"/>
      <c r="K14" s="7" t="n"/>
      <c r="L14" s="7" t="n"/>
      <c r="M14" s="7" t="n"/>
      <c r="N14" s="7" t="n"/>
      <c r="O14" s="7" t="n"/>
      <c r="P14" s="7" t="n"/>
      <c r="Q14" s="7" t="n"/>
      <c r="R14" s="7" t="n"/>
      <c r="S14" s="7" t="n"/>
      <c r="T14" s="7" t="n"/>
    </row>
    <row r="15" ht="21" customHeight="1">
      <c r="A15" s="11" t="n"/>
      <c r="B15" s="11" t="n"/>
      <c r="C15" s="11" t="n"/>
      <c r="D15" s="4" t="inlineStr">
        <is>
          <t>Để trống ('')</t>
        </is>
      </c>
      <c r="E15" s="7" t="n"/>
      <c r="F15" s="7" t="n"/>
      <c r="G15" s="7" t="inlineStr">
        <is>
          <t>O</t>
        </is>
      </c>
      <c r="H15" s="7" t="n"/>
      <c r="I15" s="7" t="n"/>
      <c r="J15" s="7" t="n"/>
      <c r="K15" s="7" t="n"/>
      <c r="L15" s="7" t="n"/>
      <c r="M15" s="7" t="n"/>
      <c r="N15" s="7" t="n"/>
      <c r="O15" s="7" t="n"/>
      <c r="P15" s="7" t="n"/>
      <c r="Q15" s="7" t="n"/>
      <c r="R15" s="7" t="n"/>
      <c r="S15" s="7" t="n"/>
      <c r="T15" s="7" t="n"/>
    </row>
    <row r="16" ht="21" customHeight="1">
      <c r="A16" s="11" t="n"/>
      <c r="B16" s="11" t="n"/>
      <c r="C16" s="11" t="n"/>
      <c r="D16" s="4" t="inlineStr">
        <is>
          <t>Tại biên max (30 ký tự)</t>
        </is>
      </c>
      <c r="E16" s="7" t="n"/>
      <c r="F16" s="7" t="n"/>
      <c r="G16" s="7" t="n"/>
      <c r="H16" s="7" t="inlineStr">
        <is>
          <t>O</t>
        </is>
      </c>
      <c r="I16" s="7" t="n"/>
      <c r="J16" s="7" t="n"/>
      <c r="K16" s="7" t="n"/>
      <c r="L16" s="7" t="n"/>
      <c r="M16" s="7" t="n"/>
      <c r="N16" s="7" t="n"/>
      <c r="O16" s="7" t="n"/>
      <c r="P16" s="7" t="n"/>
      <c r="Q16" s="7" t="n"/>
      <c r="R16" s="7" t="n"/>
      <c r="S16" s="7" t="n"/>
      <c r="T16" s="7" t="n"/>
    </row>
    <row r="17" ht="21" customHeight="1">
      <c r="A17" s="11" t="n"/>
      <c r="B17" s="11" t="n"/>
      <c r="C17" s="11" t="n"/>
      <c r="D17" s="4" t="inlineStr">
        <is>
          <t>Vượt biên max (31 ký tự)</t>
        </is>
      </c>
      <c r="E17" s="7" t="n"/>
      <c r="F17" s="7" t="n"/>
      <c r="G17" s="7" t="n"/>
      <c r="H17" s="7" t="n"/>
      <c r="I17" s="7" t="inlineStr">
        <is>
          <t>O</t>
        </is>
      </c>
      <c r="J17" s="7" t="n"/>
      <c r="K17" s="7" t="n"/>
      <c r="L17" s="7" t="n"/>
      <c r="M17" s="7" t="n"/>
      <c r="N17" s="7" t="n"/>
      <c r="O17" s="7" t="n"/>
      <c r="P17" s="7" t="n"/>
      <c r="Q17" s="7" t="n"/>
      <c r="R17" s="7" t="n"/>
      <c r="S17" s="7" t="n"/>
      <c r="T17" s="7" t="n"/>
    </row>
    <row r="18" ht="21" customHeight="1">
      <c r="A18" s="11" t="n"/>
      <c r="B18" s="11" t="n"/>
      <c r="C18" s="11" t="n"/>
      <c r="D18" s="4" t="inlineStr">
        <is>
          <t>Chứa khoảng trắng ('user name')</t>
        </is>
      </c>
      <c r="E18" s="7" t="n"/>
      <c r="F18" s="7" t="n"/>
      <c r="G18" s="7" t="n"/>
      <c r="H18" s="7" t="n"/>
      <c r="I18" s="7" t="n"/>
      <c r="J18" s="7" t="inlineStr">
        <is>
          <t>O</t>
        </is>
      </c>
      <c r="K18" s="7" t="n"/>
      <c r="L18" s="7" t="n"/>
      <c r="M18" s="7" t="n"/>
      <c r="N18" s="7" t="n"/>
      <c r="O18" s="7" t="n"/>
      <c r="P18" s="7" t="n"/>
      <c r="Q18" s="7" t="n"/>
      <c r="R18" s="7" t="n"/>
      <c r="S18" s="7" t="n"/>
      <c r="T18" s="7" t="n"/>
    </row>
    <row r="19" ht="21" customHeight="1">
      <c r="A19" s="11" t="n"/>
      <c r="B19" s="11" t="n"/>
      <c r="C19" s="11" t="n"/>
      <c r="D19" s="4" t="inlineStr">
        <is>
          <t>Chứa ký tự đặc biệt ('user@123')</t>
        </is>
      </c>
      <c r="E19" s="7" t="n"/>
      <c r="F19" s="7" t="n"/>
      <c r="G19" s="7" t="n"/>
      <c r="H19" s="7" t="n"/>
      <c r="I19" s="7" t="n"/>
      <c r="J19" s="7" t="n"/>
      <c r="K19" s="7" t="inlineStr">
        <is>
          <t>O</t>
        </is>
      </c>
      <c r="L19" s="7" t="n"/>
      <c r="M19" s="7" t="n"/>
      <c r="N19" s="7" t="n"/>
      <c r="O19" s="7" t="n"/>
      <c r="P19" s="7" t="n"/>
      <c r="Q19" s="7" t="n"/>
      <c r="R19" s="7" t="n"/>
      <c r="S19" s="7" t="n"/>
      <c r="T19" s="7" t="n"/>
    </row>
    <row r="20" ht="21" customHeight="1">
      <c r="A20" s="11" t="n"/>
      <c r="B20" s="11" t="n"/>
      <c r="C20" s="11" t="n"/>
      <c r="D20" s="4" t="inlineStr">
        <is>
          <t>Đã tồn tại trong CSDL ('khach01')</t>
        </is>
      </c>
      <c r="E20" s="7" t="n"/>
      <c r="F20" s="7" t="n"/>
      <c r="G20" s="7" t="n"/>
      <c r="H20" s="7" t="n"/>
      <c r="I20" s="7" t="n"/>
      <c r="J20" s="7" t="n"/>
      <c r="K20" s="7" t="n"/>
      <c r="L20" s="7" t="n"/>
      <c r="M20" s="7" t="n"/>
      <c r="N20" s="7" t="n"/>
      <c r="O20" s="7" t="n"/>
      <c r="P20" s="7" t="n"/>
      <c r="Q20" s="7" t="n"/>
      <c r="R20" s="7" t="n"/>
      <c r="S20" s="7" t="inlineStr">
        <is>
          <t>O</t>
        </is>
      </c>
      <c r="T20" s="7" t="n"/>
    </row>
    <row r="21" ht="21" customHeight="1">
      <c r="A21" s="11" t="n"/>
      <c r="B21" s="11" t="n"/>
      <c r="C21" s="11" t="n"/>
      <c r="D21" s="4" t="inlineStr">
        <is>
          <t>Có dấu gạch dưới ('vip_pro_01')</t>
        </is>
      </c>
      <c r="E21" s="7" t="n"/>
      <c r="F21" s="7" t="n"/>
      <c r="G21" s="7" t="n"/>
      <c r="H21" s="7" t="n"/>
      <c r="I21" s="7" t="n"/>
      <c r="J21" s="7" t="n"/>
      <c r="K21" s="7" t="n"/>
      <c r="L21" s="7" t="n"/>
      <c r="M21" s="7" t="n"/>
      <c r="N21" s="7" t="n"/>
      <c r="O21" s="7" t="n"/>
      <c r="P21" s="7" t="n"/>
      <c r="Q21" s="7" t="n"/>
      <c r="R21" s="7" t="n"/>
      <c r="S21" s="7" t="n"/>
      <c r="T21" s="7" t="inlineStr">
        <is>
          <t>O</t>
        </is>
      </c>
    </row>
    <row r="22" ht="22" customHeight="1">
      <c r="A22" s="22" t="n"/>
      <c r="B22" s="23" t="inlineStr">
        <is>
          <t>Password</t>
        </is>
      </c>
      <c r="C22" s="22" t="n"/>
      <c r="D22" s="22" t="n"/>
      <c r="E22" s="22" t="n"/>
      <c r="F22" s="22" t="n"/>
      <c r="G22" s="22" t="n"/>
      <c r="H22" s="22" t="n"/>
      <c r="I22" s="22" t="n"/>
      <c r="J22" s="22" t="n"/>
      <c r="K22" s="22" t="n"/>
      <c r="L22" s="22" t="n"/>
      <c r="M22" s="22" t="n"/>
      <c r="N22" s="22" t="n"/>
      <c r="O22" s="22" t="n"/>
      <c r="P22" s="22" t="n"/>
      <c r="Q22" s="22" t="n"/>
      <c r="R22" s="22" t="n"/>
      <c r="S22" s="22" t="n"/>
      <c r="T22" s="22" t="n"/>
    </row>
    <row r="23" ht="21" customHeight="1">
      <c r="A23" s="11" t="n"/>
      <c r="B23" s="11" t="n"/>
      <c r="C23" s="11" t="n"/>
      <c r="D23" s="4" t="inlineStr">
        <is>
          <t>Hợp lệ (&gt;= 6 ký tự: 'pass123')</t>
        </is>
      </c>
      <c r="E23" s="7" t="inlineStr">
        <is>
          <t>O</t>
        </is>
      </c>
      <c r="F23" s="7" t="inlineStr">
        <is>
          <t>O</t>
        </is>
      </c>
      <c r="G23" s="7" t="inlineStr">
        <is>
          <t>O</t>
        </is>
      </c>
      <c r="H23" s="7" t="inlineStr">
        <is>
          <t>O</t>
        </is>
      </c>
      <c r="I23" s="7" t="inlineStr">
        <is>
          <t>O</t>
        </is>
      </c>
      <c r="J23" s="7" t="inlineStr">
        <is>
          <t>O</t>
        </is>
      </c>
      <c r="K23" s="7" t="inlineStr">
        <is>
          <t>O</t>
        </is>
      </c>
      <c r="L23" s="7" t="n"/>
      <c r="M23" s="7" t="n"/>
      <c r="N23" s="7" t="inlineStr">
        <is>
          <t>O</t>
        </is>
      </c>
      <c r="O23" s="7" t="inlineStr">
        <is>
          <t>O</t>
        </is>
      </c>
      <c r="P23" s="7" t="inlineStr">
        <is>
          <t>O</t>
        </is>
      </c>
      <c r="Q23" s="7" t="inlineStr">
        <is>
          <t>O</t>
        </is>
      </c>
      <c r="R23" s="7" t="inlineStr">
        <is>
          <t>O</t>
        </is>
      </c>
      <c r="S23" s="7" t="inlineStr">
        <is>
          <t>O</t>
        </is>
      </c>
      <c r="T23" s="7" t="inlineStr">
        <is>
          <t>O</t>
        </is>
      </c>
    </row>
    <row r="24" ht="21" customHeight="1">
      <c r="A24" s="11" t="n"/>
      <c r="B24" s="11" t="n"/>
      <c r="C24" s="11" t="n"/>
      <c r="D24" s="4" t="inlineStr">
        <is>
          <t>Tại biên min (6 ký tự: '123456')</t>
        </is>
      </c>
      <c r="E24" s="7" t="n"/>
      <c r="F24" s="7" t="n"/>
      <c r="G24" s="7" t="n"/>
      <c r="H24" s="7" t="n"/>
      <c r="I24" s="7" t="n"/>
      <c r="J24" s="7" t="n"/>
      <c r="K24" s="7" t="n"/>
      <c r="L24" s="7" t="inlineStr">
        <is>
          <t>O</t>
        </is>
      </c>
      <c r="M24" s="7" t="n"/>
      <c r="N24" s="7" t="n"/>
      <c r="O24" s="7" t="n"/>
      <c r="P24" s="7" t="n"/>
      <c r="Q24" s="7" t="n"/>
      <c r="R24" s="7" t="n"/>
      <c r="S24" s="7" t="n"/>
      <c r="T24" s="7" t="n"/>
    </row>
    <row r="25" ht="21" customHeight="1">
      <c r="A25" s="11" t="n"/>
      <c r="B25" s="11" t="n"/>
      <c r="C25" s="11" t="n"/>
      <c r="D25" s="4" t="inlineStr">
        <is>
          <t>Dưới biên min (5 ký tự: '12345')</t>
        </is>
      </c>
      <c r="E25" s="7" t="n"/>
      <c r="F25" s="7" t="n"/>
      <c r="G25" s="7" t="n"/>
      <c r="H25" s="7" t="n"/>
      <c r="I25" s="7" t="n"/>
      <c r="J25" s="7" t="n"/>
      <c r="K25" s="7" t="n"/>
      <c r="L25" s="7" t="n"/>
      <c r="M25" s="7" t="inlineStr">
        <is>
          <t>O</t>
        </is>
      </c>
      <c r="N25" s="7" t="n"/>
      <c r="O25" s="7" t="n"/>
      <c r="P25" s="7" t="n"/>
      <c r="Q25" s="7" t="n"/>
      <c r="R25" s="7" t="n"/>
      <c r="S25" s="7" t="n"/>
      <c r="T25" s="7" t="n"/>
    </row>
    <row r="26" ht="22" customHeight="1">
      <c r="A26" s="22" t="n"/>
      <c r="B26" s="23" t="inlineStr">
        <is>
          <t>Phone</t>
        </is>
      </c>
      <c r="C26" s="22" t="n"/>
      <c r="D26" s="22" t="n"/>
      <c r="E26" s="22" t="n"/>
      <c r="F26" s="22" t="n"/>
      <c r="G26" s="22" t="n"/>
      <c r="H26" s="22" t="n"/>
      <c r="I26" s="22" t="n"/>
      <c r="J26" s="22" t="n"/>
      <c r="K26" s="22" t="n"/>
      <c r="L26" s="22" t="n"/>
      <c r="M26" s="22" t="n"/>
      <c r="N26" s="22" t="n"/>
      <c r="O26" s="22" t="n"/>
      <c r="P26" s="22" t="n"/>
      <c r="Q26" s="22" t="n"/>
      <c r="R26" s="22" t="n"/>
      <c r="S26" s="22" t="n"/>
      <c r="T26" s="22" t="n"/>
    </row>
    <row r="27" ht="21" customHeight="1">
      <c r="A27" s="11" t="n"/>
      <c r="B27" s="11" t="n"/>
      <c r="C27" s="11" t="n"/>
      <c r="D27" s="4" t="inlineStr">
        <is>
          <t>10 số di động chuẩn ('0987654321')</t>
        </is>
      </c>
      <c r="E27" s="7" t="inlineStr">
        <is>
          <t>O</t>
        </is>
      </c>
      <c r="F27" s="7" t="inlineStr">
        <is>
          <t>O</t>
        </is>
      </c>
      <c r="G27" s="7" t="inlineStr">
        <is>
          <t>O</t>
        </is>
      </c>
      <c r="H27" s="7" t="inlineStr">
        <is>
          <t>O</t>
        </is>
      </c>
      <c r="I27" s="7" t="inlineStr">
        <is>
          <t>O</t>
        </is>
      </c>
      <c r="J27" s="7" t="inlineStr">
        <is>
          <t>O</t>
        </is>
      </c>
      <c r="K27" s="7" t="inlineStr">
        <is>
          <t>O</t>
        </is>
      </c>
      <c r="L27" s="7" t="inlineStr">
        <is>
          <t>O</t>
        </is>
      </c>
      <c r="M27" s="7" t="inlineStr">
        <is>
          <t>O</t>
        </is>
      </c>
      <c r="N27" s="7" t="inlineStr">
        <is>
          <t>O</t>
        </is>
      </c>
      <c r="O27" s="7" t="n"/>
      <c r="P27" s="7" t="n"/>
      <c r="Q27" s="7" t="n"/>
      <c r="R27" s="7" t="n"/>
      <c r="S27" s="7" t="n"/>
      <c r="T27" s="7" t="n"/>
    </row>
    <row r="28" ht="21" customHeight="1">
      <c r="A28" s="11" t="n"/>
      <c r="B28" s="11" t="n"/>
      <c r="C28" s="11" t="n"/>
      <c r="D28" s="4" t="inlineStr">
        <is>
          <t>Sai đầu số mạng ('0123456789')</t>
        </is>
      </c>
      <c r="E28" s="7" t="n"/>
      <c r="F28" s="7" t="n"/>
      <c r="G28" s="7" t="n"/>
      <c r="H28" s="7" t="n"/>
      <c r="I28" s="7" t="n"/>
      <c r="J28" s="7" t="n"/>
      <c r="K28" s="7" t="n"/>
      <c r="L28" s="7" t="n"/>
      <c r="M28" s="7" t="n"/>
      <c r="N28" s="7" t="n"/>
      <c r="O28" s="7" t="inlineStr">
        <is>
          <t>O</t>
        </is>
      </c>
      <c r="P28" s="7" t="n"/>
      <c r="Q28" s="7" t="n"/>
      <c r="R28" s="7" t="n"/>
      <c r="S28" s="7" t="n"/>
      <c r="T28" s="7" t="n"/>
    </row>
    <row r="29" ht="21" customHeight="1">
      <c r="A29" s="11" t="n"/>
      <c r="B29" s="11" t="n"/>
      <c r="C29" s="11" t="n"/>
      <c r="D29" s="4" t="inlineStr">
        <is>
          <t>Thiếu số (9 số: '098765432')</t>
        </is>
      </c>
      <c r="E29" s="7" t="n"/>
      <c r="F29" s="7" t="n"/>
      <c r="G29" s="7" t="n"/>
      <c r="H29" s="7" t="n"/>
      <c r="I29" s="7" t="n"/>
      <c r="J29" s="7" t="n"/>
      <c r="K29" s="7" t="n"/>
      <c r="L29" s="7" t="n"/>
      <c r="M29" s="7" t="n"/>
      <c r="N29" s="7" t="n"/>
      <c r="O29" s="7" t="n"/>
      <c r="P29" s="7" t="inlineStr">
        <is>
          <t>O</t>
        </is>
      </c>
      <c r="Q29" s="7" t="n"/>
      <c r="R29" s="7" t="n"/>
      <c r="S29" s="7" t="n"/>
      <c r="T29" s="7" t="n"/>
    </row>
    <row r="30" ht="21" customHeight="1">
      <c r="A30" s="11" t="n"/>
      <c r="B30" s="11" t="n"/>
      <c r="C30" s="11" t="n"/>
      <c r="D30" s="4" t="inlineStr">
        <is>
          <t>Thừa số (11 số: '09876543210')</t>
        </is>
      </c>
      <c r="E30" s="7" t="n"/>
      <c r="F30" s="7" t="n"/>
      <c r="G30" s="7" t="n"/>
      <c r="H30" s="7" t="n"/>
      <c r="I30" s="7" t="n"/>
      <c r="J30" s="7" t="n"/>
      <c r="K30" s="7" t="n"/>
      <c r="L30" s="7" t="n"/>
      <c r="M30" s="7" t="n"/>
      <c r="N30" s="7" t="n"/>
      <c r="O30" s="7" t="n"/>
      <c r="P30" s="7" t="n"/>
      <c r="Q30" s="7" t="inlineStr">
        <is>
          <t>O</t>
        </is>
      </c>
      <c r="R30" s="7" t="n"/>
      <c r="S30" s="7" t="n"/>
      <c r="T30" s="7" t="n"/>
    </row>
    <row r="31" ht="21" customHeight="1">
      <c r="A31" s="11" t="n"/>
      <c r="B31" s="11" t="n"/>
      <c r="C31" s="11" t="n"/>
      <c r="D31" s="4" t="inlineStr">
        <is>
          <t>Chứa ký tự chữ ('0987abc321')</t>
        </is>
      </c>
      <c r="E31" s="7" t="n"/>
      <c r="F31" s="7" t="n"/>
      <c r="G31" s="7" t="n"/>
      <c r="H31" s="7" t="n"/>
      <c r="I31" s="7" t="n"/>
      <c r="J31" s="7" t="n"/>
      <c r="K31" s="7" t="n"/>
      <c r="L31" s="7" t="n"/>
      <c r="M31" s="7" t="n"/>
      <c r="N31" s="7" t="n"/>
      <c r="O31" s="7" t="n"/>
      <c r="P31" s="7" t="n"/>
      <c r="Q31" s="7" t="n"/>
      <c r="R31" s="7" t="inlineStr">
        <is>
          <t>O</t>
        </is>
      </c>
      <c r="S31" s="7" t="n"/>
      <c r="T31" s="7" t="n"/>
    </row>
    <row r="32" ht="21" customHeight="1">
      <c r="A32" s="11" t="n"/>
      <c r="B32" s="11" t="n"/>
      <c r="C32" s="11" t="n"/>
      <c r="D32" s="4" t="inlineStr">
        <is>
          <t>Đầu số 08 chuẩn ('0812345678')</t>
        </is>
      </c>
      <c r="E32" s="7" t="n"/>
      <c r="F32" s="7" t="n"/>
      <c r="G32" s="7" t="n"/>
      <c r="H32" s="7" t="n"/>
      <c r="I32" s="7" t="n"/>
      <c r="J32" s="7" t="n"/>
      <c r="K32" s="7" t="n"/>
      <c r="L32" s="7" t="n"/>
      <c r="M32" s="7" t="n"/>
      <c r="N32" s="7" t="n"/>
      <c r="O32" s="7" t="n"/>
      <c r="P32" s="7" t="n"/>
      <c r="Q32" s="7" t="n"/>
      <c r="R32" s="7" t="n"/>
      <c r="S32" s="7" t="n"/>
      <c r="T32" s="7" t="inlineStr">
        <is>
          <t>O</t>
        </is>
      </c>
    </row>
    <row r="34" ht="24" customHeight="1">
      <c r="A34" s="6" t="inlineStr">
        <is>
          <t>Confirm</t>
        </is>
      </c>
      <c r="B34" s="6" t="inlineStr">
        <is>
          <t>Return / Exception</t>
        </is>
      </c>
      <c r="C34" s="6" t="n"/>
      <c r="D34" s="6" t="n"/>
      <c r="E34" s="6" t="n"/>
      <c r="F34" s="6" t="n"/>
      <c r="G34" s="6" t="n"/>
      <c r="H34" s="6" t="n"/>
      <c r="I34" s="6" t="n"/>
      <c r="J34" s="6" t="n"/>
      <c r="K34" s="6" t="n"/>
      <c r="L34" s="6" t="n"/>
      <c r="M34" s="6" t="n"/>
      <c r="N34" s="6" t="n"/>
      <c r="O34" s="6" t="n"/>
      <c r="P34" s="6" t="n"/>
      <c r="Q34" s="6" t="n"/>
      <c r="R34" s="6" t="n"/>
      <c r="S34" s="6" t="n"/>
      <c r="T34" s="6" t="n"/>
    </row>
    <row r="35" ht="21" customHeight="1">
      <c r="A35" s="11" t="n"/>
      <c r="B35" s="11" t="n"/>
      <c r="C35" s="11" t="n"/>
      <c r="D35" s="4" t="inlineStr">
        <is>
          <t>isValid = true</t>
        </is>
      </c>
      <c r="E35" s="7" t="inlineStr">
        <is>
          <t>O</t>
        </is>
      </c>
      <c r="F35" s="7" t="n"/>
      <c r="G35" s="7" t="n"/>
      <c r="H35" s="7" t="inlineStr">
        <is>
          <t>O</t>
        </is>
      </c>
      <c r="I35" s="7" t="n"/>
      <c r="J35" s="7" t="n"/>
      <c r="K35" s="7" t="n"/>
      <c r="L35" s="7" t="inlineStr">
        <is>
          <t>O</t>
        </is>
      </c>
      <c r="M35" s="7" t="n"/>
      <c r="N35" s="7" t="inlineStr">
        <is>
          <t>O</t>
        </is>
      </c>
      <c r="O35" s="7" t="n"/>
      <c r="P35" s="7" t="n"/>
      <c r="Q35" s="7" t="n"/>
      <c r="R35" s="7" t="n"/>
      <c r="S35" s="7" t="n"/>
      <c r="T35" s="7" t="inlineStr">
        <is>
          <t>O</t>
        </is>
      </c>
    </row>
    <row r="36" ht="21" customHeight="1">
      <c r="A36" s="11" t="n"/>
      <c r="B36" s="11" t="n"/>
      <c r="C36" s="11" t="n"/>
      <c r="D36" s="4" t="inlineStr">
        <is>
          <t>error = 'Tên đăng nhập phải từ 4 ký tự trở lên'</t>
        </is>
      </c>
      <c r="E36" s="7" t="n"/>
      <c r="F36" s="7" t="inlineStr">
        <is>
          <t>O</t>
        </is>
      </c>
      <c r="G36" s="7" t="n"/>
      <c r="H36" s="7" t="n"/>
      <c r="I36" s="7" t="n"/>
      <c r="J36" s="7" t="n"/>
      <c r="K36" s="7" t="n"/>
      <c r="L36" s="7" t="n"/>
      <c r="M36" s="7" t="n"/>
      <c r="N36" s="7" t="n"/>
      <c r="O36" s="7" t="n"/>
      <c r="P36" s="7" t="n"/>
      <c r="Q36" s="7" t="n"/>
      <c r="R36" s="7" t="n"/>
      <c r="S36" s="7" t="n"/>
      <c r="T36" s="7" t="n"/>
    </row>
    <row r="37" ht="21" customHeight="1">
      <c r="A37" s="11" t="n"/>
      <c r="B37" s="11" t="n"/>
      <c r="C37" s="11" t="n"/>
      <c r="D37" s="4" t="inlineStr">
        <is>
          <t>error = 'Tên đăng nhập không được để trống'</t>
        </is>
      </c>
      <c r="E37" s="7" t="n"/>
      <c r="F37" s="7" t="n"/>
      <c r="G37" s="7" t="inlineStr">
        <is>
          <t>O</t>
        </is>
      </c>
      <c r="H37" s="7" t="n"/>
      <c r="I37" s="7" t="n"/>
      <c r="J37" s="7" t="n"/>
      <c r="K37" s="7" t="n"/>
      <c r="L37" s="7" t="n"/>
      <c r="M37" s="7" t="n"/>
      <c r="N37" s="7" t="n"/>
      <c r="O37" s="7" t="n"/>
      <c r="P37" s="7" t="n"/>
      <c r="Q37" s="7" t="n"/>
      <c r="R37" s="7" t="n"/>
      <c r="S37" s="7" t="n"/>
      <c r="T37" s="7" t="n"/>
    </row>
    <row r="38" ht="21" customHeight="1">
      <c r="A38" s="11" t="n"/>
      <c r="B38" s="11" t="n"/>
      <c r="C38" s="11" t="n"/>
      <c r="D38" s="4" t="inlineStr">
        <is>
          <t>error = 'Tên đăng nhập không được vượt quá 30 ký tự'</t>
        </is>
      </c>
      <c r="E38" s="7" t="n"/>
      <c r="F38" s="7" t="n"/>
      <c r="G38" s="7" t="n"/>
      <c r="H38" s="7" t="n"/>
      <c r="I38" s="7" t="inlineStr">
        <is>
          <t>O</t>
        </is>
      </c>
      <c r="J38" s="7" t="n"/>
      <c r="K38" s="7" t="n"/>
      <c r="L38" s="7" t="n"/>
      <c r="M38" s="7" t="n"/>
      <c r="N38" s="7" t="n"/>
      <c r="O38" s="7" t="n"/>
      <c r="P38" s="7" t="n"/>
      <c r="Q38" s="7" t="n"/>
      <c r="R38" s="7" t="n"/>
      <c r="S38" s="7" t="n"/>
      <c r="T38" s="7" t="n"/>
    </row>
    <row r="39" ht="21" customHeight="1">
      <c r="A39" s="11" t="n"/>
      <c r="B39" s="11" t="n"/>
      <c r="C39" s="11" t="n"/>
      <c r="D39" s="4" t="inlineStr">
        <is>
          <t>error = 'Tên đăng nhập không chứa khoảng trắng'</t>
        </is>
      </c>
      <c r="E39" s="7" t="n"/>
      <c r="F39" s="7" t="n"/>
      <c r="G39" s="7" t="n"/>
      <c r="H39" s="7" t="n"/>
      <c r="I39" s="7" t="n"/>
      <c r="J39" s="7" t="inlineStr">
        <is>
          <t>O</t>
        </is>
      </c>
      <c r="K39" s="7" t="n"/>
      <c r="L39" s="7" t="n"/>
      <c r="M39" s="7" t="n"/>
      <c r="N39" s="7" t="n"/>
      <c r="O39" s="7" t="n"/>
      <c r="P39" s="7" t="n"/>
      <c r="Q39" s="7" t="n"/>
      <c r="R39" s="7" t="n"/>
      <c r="S39" s="7" t="n"/>
      <c r="T39" s="7" t="n"/>
    </row>
    <row r="40" ht="21" customHeight="1">
      <c r="A40" s="11" t="n"/>
      <c r="B40" s="11" t="n"/>
      <c r="C40" s="11" t="n"/>
      <c r="D40" s="4" t="inlineStr">
        <is>
          <t>error = 'Tên đăng nhập chỉ gồm chữ và số'</t>
        </is>
      </c>
      <c r="E40" s="7" t="n"/>
      <c r="F40" s="7" t="n"/>
      <c r="G40" s="7" t="n"/>
      <c r="H40" s="7" t="n"/>
      <c r="I40" s="7" t="n"/>
      <c r="J40" s="7" t="n"/>
      <c r="K40" s="7" t="inlineStr">
        <is>
          <t>O</t>
        </is>
      </c>
      <c r="L40" s="7" t="n"/>
      <c r="M40" s="7" t="n"/>
      <c r="N40" s="7" t="n"/>
      <c r="O40" s="7" t="n"/>
      <c r="P40" s="7" t="n"/>
      <c r="Q40" s="7" t="n"/>
      <c r="R40" s="7" t="n"/>
      <c r="S40" s="7" t="n"/>
      <c r="T40" s="7" t="n"/>
    </row>
    <row r="41" ht="21" customHeight="1">
      <c r="A41" s="11" t="n"/>
      <c r="B41" s="11" t="n"/>
      <c r="C41" s="11" t="n"/>
      <c r="D41" s="4" t="inlineStr">
        <is>
          <t>error = 'Mật khẩu phải có ít nhất 6 ký tự'</t>
        </is>
      </c>
      <c r="E41" s="7" t="n"/>
      <c r="F41" s="7" t="n"/>
      <c r="G41" s="7" t="n"/>
      <c r="H41" s="7" t="n"/>
      <c r="I41" s="7" t="n"/>
      <c r="J41" s="7" t="n"/>
      <c r="K41" s="7" t="n"/>
      <c r="L41" s="7" t="n"/>
      <c r="M41" s="7" t="inlineStr">
        <is>
          <t>O</t>
        </is>
      </c>
      <c r="N41" s="7" t="n"/>
      <c r="O41" s="7" t="n"/>
      <c r="P41" s="7" t="n"/>
      <c r="Q41" s="7" t="n"/>
      <c r="R41" s="7" t="n"/>
      <c r="S41" s="7" t="n"/>
      <c r="T41" s="7" t="n"/>
    </row>
    <row r="42" ht="21" customHeight="1">
      <c r="A42" s="11" t="n"/>
      <c r="B42" s="11" t="n"/>
      <c r="C42" s="11" t="n"/>
      <c r="D42" s="4" t="inlineStr">
        <is>
          <t>error = 'Số điện thoại không đúng định dạng đầu số di động'</t>
        </is>
      </c>
      <c r="E42" s="7" t="n"/>
      <c r="F42" s="7" t="n"/>
      <c r="G42" s="7" t="n"/>
      <c r="H42" s="7" t="n"/>
      <c r="I42" s="7" t="n"/>
      <c r="J42" s="7" t="n"/>
      <c r="K42" s="7" t="n"/>
      <c r="L42" s="7" t="n"/>
      <c r="M42" s="7" t="n"/>
      <c r="N42" s="7" t="n"/>
      <c r="O42" s="7" t="inlineStr">
        <is>
          <t>O</t>
        </is>
      </c>
      <c r="P42" s="7" t="n"/>
      <c r="Q42" s="7" t="n"/>
      <c r="R42" s="7" t="n"/>
      <c r="S42" s="7" t="n"/>
      <c r="T42" s="7" t="n"/>
    </row>
    <row r="43" ht="21" customHeight="1">
      <c r="A43" s="11" t="n"/>
      <c r="B43" s="11" t="n"/>
      <c r="C43" s="11" t="n"/>
      <c r="D43" s="4" t="inlineStr">
        <is>
          <t>error = 'Số điện thoại phải gồm đúng 10 chữ số'</t>
        </is>
      </c>
      <c r="E43" s="7" t="n"/>
      <c r="F43" s="7" t="n"/>
      <c r="G43" s="7" t="n"/>
      <c r="H43" s="7" t="n"/>
      <c r="I43" s="7" t="n"/>
      <c r="J43" s="7" t="n"/>
      <c r="K43" s="7" t="n"/>
      <c r="L43" s="7" t="n"/>
      <c r="M43" s="7" t="n"/>
      <c r="N43" s="7" t="n"/>
      <c r="O43" s="7" t="n"/>
      <c r="P43" s="7" t="inlineStr">
        <is>
          <t>O</t>
        </is>
      </c>
      <c r="Q43" s="7" t="n"/>
      <c r="R43" s="7" t="n"/>
      <c r="S43" s="7" t="n"/>
      <c r="T43" s="7" t="n"/>
    </row>
    <row r="44" ht="21" customHeight="1">
      <c r="A44" s="11" t="n"/>
      <c r="B44" s="11" t="n"/>
      <c r="C44" s="11" t="n"/>
      <c r="D44" s="4" t="inlineStr">
        <is>
          <t>error = 'Số điện thoại không được vượt quá 10 chữ số'</t>
        </is>
      </c>
      <c r="E44" s="7" t="n"/>
      <c r="F44" s="7" t="n"/>
      <c r="G44" s="7" t="n"/>
      <c r="H44" s="7" t="n"/>
      <c r="I44" s="7" t="n"/>
      <c r="J44" s="7" t="n"/>
      <c r="K44" s="7" t="n"/>
      <c r="L44" s="7" t="n"/>
      <c r="M44" s="7" t="n"/>
      <c r="N44" s="7" t="n"/>
      <c r="O44" s="7" t="n"/>
      <c r="P44" s="7" t="n"/>
      <c r="Q44" s="7" t="inlineStr">
        <is>
          <t>O</t>
        </is>
      </c>
      <c r="R44" s="7" t="n"/>
      <c r="S44" s="7" t="n"/>
      <c r="T44" s="7" t="n"/>
    </row>
    <row r="45" ht="21" customHeight="1">
      <c r="A45" s="11" t="n"/>
      <c r="B45" s="11" t="n"/>
      <c r="C45" s="11" t="n"/>
      <c r="D45" s="4" t="inlineStr">
        <is>
          <t>error = 'Số điện thoại chỉ gồm chữ số'</t>
        </is>
      </c>
      <c r="E45" s="7" t="n"/>
      <c r="F45" s="7" t="n"/>
      <c r="G45" s="7" t="n"/>
      <c r="H45" s="7" t="n"/>
      <c r="I45" s="7" t="n"/>
      <c r="J45" s="7" t="n"/>
      <c r="K45" s="7" t="n"/>
      <c r="L45" s="7" t="n"/>
      <c r="M45" s="7" t="n"/>
      <c r="N45" s="7" t="n"/>
      <c r="O45" s="7" t="n"/>
      <c r="P45" s="7" t="n"/>
      <c r="Q45" s="7" t="n"/>
      <c r="R45" s="7" t="inlineStr">
        <is>
          <t>O</t>
        </is>
      </c>
      <c r="S45" s="7" t="n"/>
      <c r="T45" s="7" t="n"/>
    </row>
    <row r="46" ht="21" customHeight="1">
      <c r="A46" s="11" t="n"/>
      <c r="B46" s="11" t="n"/>
      <c r="C46" s="11" t="n"/>
      <c r="D46" s="4" t="inlineStr">
        <is>
          <t>error = 'Tên đăng nhập đã tồn tại trong hệ thống'</t>
        </is>
      </c>
      <c r="E46" s="7" t="n"/>
      <c r="F46" s="7" t="n"/>
      <c r="G46" s="7" t="n"/>
      <c r="H46" s="7" t="n"/>
      <c r="I46" s="7" t="n"/>
      <c r="J46" s="7" t="n"/>
      <c r="K46" s="7" t="n"/>
      <c r="L46" s="7" t="n"/>
      <c r="M46" s="7" t="n"/>
      <c r="N46" s="7" t="n"/>
      <c r="O46" s="7" t="n"/>
      <c r="P46" s="7" t="n"/>
      <c r="Q46" s="7" t="n"/>
      <c r="R46" s="7" t="n"/>
      <c r="S46" s="7" t="inlineStr">
        <is>
          <t>O</t>
        </is>
      </c>
      <c r="T46" s="7" t="n"/>
    </row>
    <row r="48" ht="23" customHeight="1">
      <c r="A48" s="6" t="inlineStr">
        <is>
          <t>Result</t>
        </is>
      </c>
      <c r="B48" s="6" t="inlineStr">
        <is>
          <t>Type(N : Normal, A : Abnormal, B : Boundary)</t>
        </is>
      </c>
      <c r="C48" s="6" t="n"/>
      <c r="D48" s="6" t="n"/>
      <c r="E48" s="6" t="inlineStr">
        <is>
          <t>N</t>
        </is>
      </c>
      <c r="F48" s="6" t="inlineStr">
        <is>
          <t>B</t>
        </is>
      </c>
      <c r="G48" s="6" t="inlineStr">
        <is>
          <t>A</t>
        </is>
      </c>
      <c r="H48" s="6" t="inlineStr">
        <is>
          <t>B</t>
        </is>
      </c>
      <c r="I48" s="6" t="inlineStr">
        <is>
          <t>B</t>
        </is>
      </c>
      <c r="J48" s="6" t="inlineStr">
        <is>
          <t>A</t>
        </is>
      </c>
      <c r="K48" s="6" t="inlineStr">
        <is>
          <t>A</t>
        </is>
      </c>
      <c r="L48" s="6" t="inlineStr">
        <is>
          <t>B</t>
        </is>
      </c>
      <c r="M48" s="6" t="inlineStr">
        <is>
          <t>B</t>
        </is>
      </c>
      <c r="N48" s="6" t="inlineStr">
        <is>
          <t>N</t>
        </is>
      </c>
      <c r="O48" s="6" t="inlineStr">
        <is>
          <t>A</t>
        </is>
      </c>
      <c r="P48" s="6" t="inlineStr">
        <is>
          <t>B</t>
        </is>
      </c>
      <c r="Q48" s="6" t="inlineStr">
        <is>
          <t>B</t>
        </is>
      </c>
      <c r="R48" s="6" t="inlineStr">
        <is>
          <t>A</t>
        </is>
      </c>
      <c r="S48" s="6" t="inlineStr">
        <is>
          <t>A</t>
        </is>
      </c>
      <c r="T48" s="6" t="inlineStr">
        <is>
          <t>N</t>
        </is>
      </c>
    </row>
    <row r="49" ht="23" customHeight="1">
      <c r="A49" s="11" t="n"/>
      <c r="B49" s="24" t="inlineStr">
        <is>
          <t>Passed/Failed</t>
        </is>
      </c>
      <c r="C49" s="11" t="n"/>
      <c r="D49" s="11" t="n"/>
      <c r="E49" s="25" t="inlineStr">
        <is>
          <t>P</t>
        </is>
      </c>
      <c r="F49" s="25" t="inlineStr">
        <is>
          <t>P</t>
        </is>
      </c>
      <c r="G49" s="25" t="inlineStr">
        <is>
          <t>P</t>
        </is>
      </c>
      <c r="H49" s="25" t="inlineStr">
        <is>
          <t>P</t>
        </is>
      </c>
      <c r="I49" s="25" t="inlineStr">
        <is>
          <t>P</t>
        </is>
      </c>
      <c r="J49" s="25" t="inlineStr">
        <is>
          <t>P</t>
        </is>
      </c>
      <c r="K49" s="25" t="inlineStr">
        <is>
          <t>P</t>
        </is>
      </c>
      <c r="L49" s="25" t="inlineStr">
        <is>
          <t>P</t>
        </is>
      </c>
      <c r="M49" s="25" t="inlineStr">
        <is>
          <t>P</t>
        </is>
      </c>
      <c r="N49" s="25" t="inlineStr">
        <is>
          <t>P</t>
        </is>
      </c>
      <c r="O49" s="25" t="inlineStr">
        <is>
          <t>P</t>
        </is>
      </c>
      <c r="P49" s="25" t="inlineStr">
        <is>
          <t>P</t>
        </is>
      </c>
      <c r="Q49" s="25" t="inlineStr">
        <is>
          <t>P</t>
        </is>
      </c>
      <c r="R49" s="25" t="inlineStr">
        <is>
          <t>P</t>
        </is>
      </c>
      <c r="S49" s="25" t="inlineStr">
        <is>
          <t>P</t>
        </is>
      </c>
      <c r="T49" s="25" t="inlineStr">
        <is>
          <t>P</t>
        </is>
      </c>
    </row>
    <row r="50" ht="21" customHeight="1">
      <c r="A50" s="11" t="n"/>
      <c r="B50" s="14" t="inlineStr">
        <is>
          <t>Executed Date</t>
        </is>
      </c>
      <c r="C50" s="11" t="n"/>
      <c r="D50" s="11" t="n"/>
      <c r="E50" s="26" t="inlineStr">
        <is>
          <t>26/09/2026</t>
        </is>
      </c>
      <c r="F50" s="26" t="inlineStr">
        <is>
          <t>26/09/2026</t>
        </is>
      </c>
      <c r="G50" s="26" t="inlineStr">
        <is>
          <t>26/09/2026</t>
        </is>
      </c>
      <c r="H50" s="26" t="inlineStr">
        <is>
          <t>26/09/2026</t>
        </is>
      </c>
      <c r="I50" s="26" t="inlineStr">
        <is>
          <t>26/09/2026</t>
        </is>
      </c>
      <c r="J50" s="26" t="inlineStr">
        <is>
          <t>26/09/2026</t>
        </is>
      </c>
      <c r="K50" s="26" t="inlineStr">
        <is>
          <t>26/09/2026</t>
        </is>
      </c>
      <c r="L50" s="26" t="inlineStr">
        <is>
          <t>26/09/2026</t>
        </is>
      </c>
      <c r="M50" s="26" t="inlineStr">
        <is>
          <t>26/09/2026</t>
        </is>
      </c>
      <c r="N50" s="26" t="inlineStr">
        <is>
          <t>26/09/2026</t>
        </is>
      </c>
      <c r="O50" s="26" t="inlineStr">
        <is>
          <t>26/09/2026</t>
        </is>
      </c>
      <c r="P50" s="26" t="inlineStr">
        <is>
          <t>26/09/2026</t>
        </is>
      </c>
      <c r="Q50" s="26" t="inlineStr">
        <is>
          <t>26/09/2026</t>
        </is>
      </c>
      <c r="R50" s="26" t="inlineStr">
        <is>
          <t>26/09/2026</t>
        </is>
      </c>
      <c r="S50" s="26" t="inlineStr">
        <is>
          <t>26/09/2026</t>
        </is>
      </c>
      <c r="T50" s="26" t="inlineStr">
        <is>
          <t>26/09/2026</t>
        </is>
      </c>
    </row>
    <row r="51" ht="21" customHeight="1">
      <c r="A51" s="11" t="n"/>
      <c r="B51" s="14" t="inlineStr">
        <is>
          <t>Defect ID</t>
        </is>
      </c>
      <c r="C51" s="11" t="n"/>
      <c r="D51" s="11" t="n"/>
      <c r="E51" s="27" t="inlineStr"/>
      <c r="F51" s="27" t="inlineStr"/>
      <c r="G51" s="27" t="inlineStr"/>
      <c r="H51" s="27" t="inlineStr"/>
      <c r="I51" s="27" t="inlineStr"/>
      <c r="J51" s="27" t="inlineStr"/>
      <c r="K51" s="27" t="inlineStr"/>
      <c r="L51" s="27" t="inlineStr"/>
      <c r="M51" s="27" t="inlineStr"/>
      <c r="N51" s="27" t="inlineStr"/>
      <c r="O51" s="27" t="inlineStr"/>
      <c r="P51" s="27" t="inlineStr"/>
      <c r="Q51" s="27" t="inlineStr"/>
      <c r="R51" s="27" t="inlineStr"/>
      <c r="S51" s="27" t="inlineStr"/>
      <c r="T51" s="27"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2:N40"/>
  <sheetViews>
    <sheetView workbookViewId="0">
      <selection activeCell="A1" sqref="A1"/>
    </sheetView>
  </sheetViews>
  <sheetFormatPr baseColWidth="8" defaultRowHeight="15"/>
  <cols>
    <col width="12" customWidth="1" min="1" max="1"/>
    <col width="24" customWidth="1" min="2" max="2"/>
    <col width="12" customWidth="1" min="3" max="3"/>
    <col width="48"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s>
  <sheetData>
    <row r="2" ht="22" customHeight="1">
      <c r="A2" s="5" t="inlineStr">
        <is>
          <t>Function Code</t>
        </is>
      </c>
      <c r="C2" s="19" t="inlineStr">
        <is>
          <t>F_AUTH_LOGIN</t>
        </is>
      </c>
      <c r="E2" s="5" t="inlineStr">
        <is>
          <t>Function Name</t>
        </is>
      </c>
      <c r="G2" s="18" t="inlineStr">
        <is>
          <t>validateLogin</t>
        </is>
      </c>
    </row>
    <row r="3" ht="22" customHeight="1">
      <c r="A3" s="5" t="inlineStr">
        <is>
          <t>Created By</t>
        </is>
      </c>
      <c r="C3" s="18" t="inlineStr">
        <is>
          <t>Nhóm 15</t>
        </is>
      </c>
      <c r="E3" s="5" t="inlineStr">
        <is>
          <t>Executed By</t>
        </is>
      </c>
      <c r="G3" s="18" t="inlineStr">
        <is>
          <t>Nhóm 15 (Automation)</t>
        </is>
      </c>
    </row>
    <row r="4" ht="22" customHeight="1">
      <c r="A4" s="5" t="inlineStr">
        <is>
          <t>Lines of code</t>
        </is>
      </c>
      <c r="C4" s="18" t="n">
        <v>28</v>
      </c>
    </row>
    <row r="5" ht="22" customHeight="1">
      <c r="A5" s="5" t="inlineStr">
        <is>
          <t>Test requirement</t>
        </is>
      </c>
      <c r="C5" s="18" t="inlineStr">
        <is>
          <t>Xác thực thông tin đăng nhập email/mật khẩu, chặn tài khoản bị khóa isBlocked, quản lý phiên</t>
        </is>
      </c>
    </row>
    <row r="6" ht="22" customHeight="1">
      <c r="A6" s="6" t="inlineStr">
        <is>
          <t>Passed</t>
        </is>
      </c>
      <c r="C6" s="6" t="inlineStr">
        <is>
          <t>Failed</t>
        </is>
      </c>
      <c r="E6" s="6" t="inlineStr">
        <is>
          <t>Untested</t>
        </is>
      </c>
      <c r="K6" s="6" t="inlineStr">
        <is>
          <t>N</t>
        </is>
      </c>
      <c r="L6" s="6" t="inlineStr">
        <is>
          <t>A</t>
        </is>
      </c>
      <c r="M6" s="6" t="inlineStr">
        <is>
          <t>B</t>
        </is>
      </c>
      <c r="N6" s="6" t="inlineStr">
        <is>
          <t>Total Test Cases</t>
        </is>
      </c>
    </row>
    <row r="7" ht="24" customHeight="1">
      <c r="A7" s="20">
        <f>COUNTIF(E38:M38,"P")</f>
        <v/>
      </c>
      <c r="C7" s="20">
        <f>COUNTIF(E38:M38,"F")</f>
        <v/>
      </c>
      <c r="E7" s="20">
        <f>SUM(N7,-A7,-C7)</f>
        <v/>
      </c>
      <c r="K7" s="20">
        <f>COUNTIF(E37:M37,"N")</f>
        <v/>
      </c>
      <c r="L7" s="20">
        <f>COUNTIF(E37:M37,"A")</f>
        <v/>
      </c>
      <c r="M7" s="20">
        <f>COUNTIF(E37:M37,"B")</f>
        <v/>
      </c>
      <c r="N7" s="20">
        <f>COUNTA(E9:M9)</f>
        <v/>
      </c>
    </row>
    <row r="9" ht="24" customHeight="1">
      <c r="E9" s="6" t="inlineStr">
        <is>
          <t>UTCID01</t>
        </is>
      </c>
      <c r="F9" s="6" t="inlineStr">
        <is>
          <t>UTCID02</t>
        </is>
      </c>
      <c r="G9" s="6" t="inlineStr">
        <is>
          <t>UTCID03</t>
        </is>
      </c>
      <c r="H9" s="6" t="inlineStr">
        <is>
          <t>UTCID04</t>
        </is>
      </c>
      <c r="I9" s="6" t="inlineStr">
        <is>
          <t>UTCID05</t>
        </is>
      </c>
      <c r="J9" s="6" t="inlineStr">
        <is>
          <t>UTCID06</t>
        </is>
      </c>
      <c r="K9" s="6" t="inlineStr">
        <is>
          <t>UTCID07</t>
        </is>
      </c>
      <c r="L9" s="6" t="inlineStr">
        <is>
          <t>UTCID08</t>
        </is>
      </c>
      <c r="M9" s="6" t="inlineStr">
        <is>
          <t>UTCID09</t>
        </is>
      </c>
    </row>
    <row r="10" ht="22" customHeight="1">
      <c r="A10" s="6" t="inlineStr">
        <is>
          <t>Condition</t>
        </is>
      </c>
      <c r="B10" s="6" t="inlineStr">
        <is>
          <t>Precondition</t>
        </is>
      </c>
      <c r="D10" s="6" t="inlineStr">
        <is>
          <t>N/A</t>
        </is>
      </c>
      <c r="E10" s="21" t="n"/>
      <c r="F10" s="21" t="n"/>
      <c r="G10" s="21" t="n"/>
      <c r="H10" s="21" t="n"/>
      <c r="I10" s="21" t="n"/>
      <c r="J10" s="21" t="n"/>
      <c r="K10" s="21" t="n"/>
      <c r="L10" s="21" t="n"/>
      <c r="M10" s="21" t="n"/>
    </row>
    <row r="12" ht="22" customHeight="1">
      <c r="A12" s="22" t="n"/>
      <c r="B12" s="23" t="inlineStr">
        <is>
          <t>Email</t>
        </is>
      </c>
      <c r="C12" s="22" t="n"/>
      <c r="D12" s="22" t="n"/>
      <c r="E12" s="22" t="n"/>
      <c r="F12" s="22" t="n"/>
      <c r="G12" s="22" t="n"/>
      <c r="H12" s="22" t="n"/>
      <c r="I12" s="22" t="n"/>
      <c r="J12" s="22" t="n"/>
      <c r="K12" s="22" t="n"/>
      <c r="L12" s="22" t="n"/>
      <c r="M12" s="22" t="n"/>
    </row>
    <row r="13" ht="21" customHeight="1">
      <c r="A13" s="11" t="n"/>
      <c r="B13" s="11" t="n"/>
      <c r="C13" s="11" t="n"/>
      <c r="D13" s="4" t="inlineStr">
        <is>
          <t>Email chính xác ('khach01@gmail.com')</t>
        </is>
      </c>
      <c r="E13" s="7" t="inlineStr">
        <is>
          <t>O</t>
        </is>
      </c>
      <c r="F13" s="7" t="inlineStr">
        <is>
          <t>O</t>
        </is>
      </c>
      <c r="G13" s="7" t="n"/>
      <c r="H13" s="7" t="n"/>
      <c r="I13" s="7" t="inlineStr">
        <is>
          <t>O</t>
        </is>
      </c>
      <c r="J13" s="7" t="inlineStr">
        <is>
          <t>O</t>
        </is>
      </c>
      <c r="K13" s="7" t="n"/>
      <c r="L13" s="7" t="n"/>
      <c r="M13" s="7" t="n"/>
    </row>
    <row r="14" ht="21" customHeight="1">
      <c r="A14" s="11" t="n"/>
      <c r="B14" s="11" t="n"/>
      <c r="C14" s="11" t="n"/>
      <c r="D14" s="4" t="inlineStr">
        <is>
          <t>Email không tồn tại ('notfound@gmail.com')</t>
        </is>
      </c>
      <c r="E14" s="7" t="n"/>
      <c r="F14" s="7" t="n"/>
      <c r="G14" s="7" t="inlineStr">
        <is>
          <t>O</t>
        </is>
      </c>
      <c r="H14" s="7" t="n"/>
      <c r="I14" s="7" t="n"/>
      <c r="J14" s="7" t="n"/>
      <c r="K14" s="7" t="n"/>
      <c r="L14" s="7" t="n"/>
      <c r="M14" s="7" t="n"/>
    </row>
    <row r="15" ht="21" customHeight="1">
      <c r="A15" s="11" t="n"/>
      <c r="B15" s="11" t="n"/>
      <c r="C15" s="11" t="n"/>
      <c r="D15" s="4" t="inlineStr">
        <is>
          <t>Email để trống ('')</t>
        </is>
      </c>
      <c r="E15" s="7" t="n"/>
      <c r="F15" s="7" t="n"/>
      <c r="G15" s="7" t="n"/>
      <c r="H15" s="7" t="inlineStr">
        <is>
          <t>O</t>
        </is>
      </c>
      <c r="I15" s="7" t="n"/>
      <c r="J15" s="7" t="n"/>
      <c r="K15" s="7" t="n"/>
      <c r="L15" s="7" t="n"/>
      <c r="M15" s="7" t="n"/>
    </row>
    <row r="16" ht="21" customHeight="1">
      <c r="A16" s="11" t="n"/>
      <c r="B16" s="11" t="n"/>
      <c r="C16" s="11" t="n"/>
      <c r="D16" s="4" t="inlineStr">
        <is>
          <t>Tài khoản đang đăng nhập hợp lệ</t>
        </is>
      </c>
      <c r="E16" s="7" t="n"/>
      <c r="F16" s="7" t="n"/>
      <c r="G16" s="7" t="n"/>
      <c r="H16" s="7" t="n"/>
      <c r="I16" s="7" t="n"/>
      <c r="J16" s="7" t="n"/>
      <c r="K16" s="7" t="inlineStr">
        <is>
          <t>O</t>
        </is>
      </c>
      <c r="L16" s="7" t="n"/>
      <c r="M16" s="7" t="inlineStr">
        <is>
          <t>O</t>
        </is>
      </c>
    </row>
    <row r="17" ht="21" customHeight="1">
      <c r="A17" s="11" t="n"/>
      <c r="B17" s="11" t="n"/>
      <c r="C17" s="11" t="n"/>
      <c r="D17" s="4" t="inlineStr">
        <is>
          <t>Chưa có phiên (LocalStorage trống)</t>
        </is>
      </c>
      <c r="E17" s="7" t="n"/>
      <c r="F17" s="7" t="n"/>
      <c r="G17" s="7" t="n"/>
      <c r="H17" s="7" t="n"/>
      <c r="I17" s="7" t="n"/>
      <c r="J17" s="7" t="n"/>
      <c r="K17" s="7" t="n"/>
      <c r="L17" s="7" t="inlineStr">
        <is>
          <t>O</t>
        </is>
      </c>
      <c r="M17" s="7" t="n"/>
    </row>
    <row r="18" ht="22" customHeight="1">
      <c r="A18" s="22" t="n"/>
      <c r="B18" s="23" t="inlineStr">
        <is>
          <t>Password</t>
        </is>
      </c>
      <c r="C18" s="22" t="n"/>
      <c r="D18" s="22" t="n"/>
      <c r="E18" s="22" t="n"/>
      <c r="F18" s="22" t="n"/>
      <c r="G18" s="22" t="n"/>
      <c r="H18" s="22" t="n"/>
      <c r="I18" s="22" t="n"/>
      <c r="J18" s="22" t="n"/>
      <c r="K18" s="22" t="n"/>
      <c r="L18" s="22" t="n"/>
      <c r="M18" s="22" t="n"/>
    </row>
    <row r="19" ht="21" customHeight="1">
      <c r="A19" s="11" t="n"/>
      <c r="B19" s="11" t="n"/>
      <c r="C19" s="11" t="n"/>
      <c r="D19" s="4" t="inlineStr">
        <is>
          <t>Đúng mật khẩu ('123456')</t>
        </is>
      </c>
      <c r="E19" s="7" t="inlineStr">
        <is>
          <t>O</t>
        </is>
      </c>
      <c r="F19" s="7" t="n"/>
      <c r="G19" s="7" t="inlineStr">
        <is>
          <t>O</t>
        </is>
      </c>
      <c r="H19" s="7" t="inlineStr">
        <is>
          <t>O</t>
        </is>
      </c>
      <c r="I19" s="7" t="n"/>
      <c r="J19" s="7" t="inlineStr">
        <is>
          <t>O</t>
        </is>
      </c>
      <c r="K19" s="7" t="n"/>
      <c r="L19" s="7" t="n"/>
      <c r="M19" s="7" t="n"/>
    </row>
    <row r="20" ht="21" customHeight="1">
      <c r="A20" s="11" t="n"/>
      <c r="B20" s="11" t="n"/>
      <c r="C20" s="11" t="n"/>
      <c r="D20" s="4" t="inlineStr">
        <is>
          <t>Sai mật khẩu ('wrongpass')</t>
        </is>
      </c>
      <c r="E20" s="7" t="n"/>
      <c r="F20" s="7" t="inlineStr">
        <is>
          <t>O</t>
        </is>
      </c>
      <c r="G20" s="7" t="n"/>
      <c r="H20" s="7" t="n"/>
      <c r="I20" s="7" t="n"/>
      <c r="J20" s="7" t="n"/>
      <c r="K20" s="7" t="n"/>
      <c r="L20" s="7" t="n"/>
      <c r="M20" s="7" t="n"/>
    </row>
    <row r="21" ht="21" customHeight="1">
      <c r="A21" s="11" t="n"/>
      <c r="B21" s="11" t="n"/>
      <c r="C21" s="11" t="n"/>
      <c r="D21" s="4" t="inlineStr">
        <is>
          <t>Để trống mật khẩu ('')</t>
        </is>
      </c>
      <c r="E21" s="7" t="n"/>
      <c r="F21" s="7" t="n"/>
      <c r="G21" s="7" t="n"/>
      <c r="H21" s="7" t="n"/>
      <c r="I21" s="7" t="inlineStr">
        <is>
          <t>O</t>
        </is>
      </c>
      <c r="J21" s="7" t="n"/>
      <c r="K21" s="7" t="n"/>
      <c r="L21" s="7" t="n"/>
      <c r="M21" s="7" t="n"/>
    </row>
    <row r="22" ht="22" customHeight="1">
      <c r="A22" s="22" t="n"/>
      <c r="B22" s="23" t="inlineStr">
        <is>
          <t>Trạng thái</t>
        </is>
      </c>
      <c r="C22" s="22" t="n"/>
      <c r="D22" s="22" t="n"/>
      <c r="E22" s="22" t="n"/>
      <c r="F22" s="22" t="n"/>
      <c r="G22" s="22" t="n"/>
      <c r="H22" s="22" t="n"/>
      <c r="I22" s="22" t="n"/>
      <c r="J22" s="22" t="n"/>
      <c r="K22" s="22" t="n"/>
      <c r="L22" s="22" t="n"/>
      <c r="M22" s="22" t="n"/>
    </row>
    <row r="23" ht="21" customHeight="1">
      <c r="A23" s="11" t="n"/>
      <c r="B23" s="11" t="n"/>
      <c r="C23" s="11" t="n"/>
      <c r="D23" s="4" t="inlineStr">
        <is>
          <t>Hoạt động bình thường (isBlocked=false)</t>
        </is>
      </c>
      <c r="E23" s="7" t="inlineStr">
        <is>
          <t>O</t>
        </is>
      </c>
      <c r="F23" s="7" t="inlineStr">
        <is>
          <t>O</t>
        </is>
      </c>
      <c r="G23" s="7" t="inlineStr">
        <is>
          <t>O</t>
        </is>
      </c>
      <c r="H23" s="7" t="inlineStr">
        <is>
          <t>O</t>
        </is>
      </c>
      <c r="I23" s="7" t="inlineStr">
        <is>
          <t>O</t>
        </is>
      </c>
      <c r="J23" s="7" t="n"/>
      <c r="K23" s="7" t="inlineStr">
        <is>
          <t>O</t>
        </is>
      </c>
      <c r="L23" s="7" t="inlineStr">
        <is>
          <t>O</t>
        </is>
      </c>
      <c r="M23" s="7" t="inlineStr">
        <is>
          <t>O</t>
        </is>
      </c>
    </row>
    <row r="24" ht="21" customHeight="1">
      <c r="A24" s="11" t="n"/>
      <c r="B24" s="11" t="n"/>
      <c r="C24" s="11" t="n"/>
      <c r="D24" s="4" t="inlineStr">
        <is>
          <t>Bị khóa vi phạm (isBlocked=true)</t>
        </is>
      </c>
      <c r="E24" s="7" t="n"/>
      <c r="F24" s="7" t="n"/>
      <c r="G24" s="7" t="n"/>
      <c r="H24" s="7" t="n"/>
      <c r="I24" s="7" t="n"/>
      <c r="J24" s="7" t="inlineStr">
        <is>
          <t>O</t>
        </is>
      </c>
      <c r="K24" s="7" t="n"/>
      <c r="L24" s="7" t="n"/>
      <c r="M24" s="7" t="n"/>
    </row>
    <row r="26" ht="24" customHeight="1">
      <c r="A26" s="6" t="inlineStr">
        <is>
          <t>Confirm</t>
        </is>
      </c>
      <c r="B26" s="6" t="inlineStr">
        <is>
          <t>Return / Exception</t>
        </is>
      </c>
      <c r="C26" s="6" t="n"/>
      <c r="D26" s="6" t="n"/>
      <c r="E26" s="6" t="n"/>
      <c r="F26" s="6" t="n"/>
      <c r="G26" s="6" t="n"/>
      <c r="H26" s="6" t="n"/>
      <c r="I26" s="6" t="n"/>
      <c r="J26" s="6" t="n"/>
      <c r="K26" s="6" t="n"/>
      <c r="L26" s="6" t="n"/>
      <c r="M26" s="6" t="n"/>
    </row>
    <row r="27" ht="21" customHeight="1">
      <c r="A27" s="11" t="n"/>
      <c r="B27" s="11" t="n"/>
      <c r="C27" s="11" t="n"/>
      <c r="D27" s="4" t="inlineStr">
        <is>
          <t>success = true, user != null</t>
        </is>
      </c>
      <c r="E27" s="7" t="inlineStr">
        <is>
          <t>O</t>
        </is>
      </c>
      <c r="F27" s="7" t="n"/>
      <c r="G27" s="7" t="n"/>
      <c r="H27" s="7" t="n"/>
      <c r="I27" s="7" t="n"/>
      <c r="J27" s="7" t="n"/>
      <c r="K27" s="7" t="n"/>
      <c r="L27" s="7" t="n"/>
      <c r="M27" s="7" t="n"/>
    </row>
    <row r="28" ht="21" customHeight="1">
      <c r="A28" s="11" t="n"/>
      <c r="B28" s="11" t="n"/>
      <c r="C28" s="11" t="n"/>
      <c r="D28" s="4" t="inlineStr">
        <is>
          <t>error = 'Mật khẩu không chính xác'</t>
        </is>
      </c>
      <c r="E28" s="7" t="n"/>
      <c r="F28" s="7" t="inlineStr">
        <is>
          <t>O</t>
        </is>
      </c>
      <c r="G28" s="7" t="n"/>
      <c r="H28" s="7" t="n"/>
      <c r="I28" s="7" t="n"/>
      <c r="J28" s="7" t="n"/>
      <c r="K28" s="7" t="n"/>
      <c r="L28" s="7" t="n"/>
      <c r="M28" s="7" t="n"/>
    </row>
    <row r="29" ht="21" customHeight="1">
      <c r="A29" s="11" t="n"/>
      <c r="B29" s="11" t="n"/>
      <c r="C29" s="11" t="n"/>
      <c r="D29" s="4" t="inlineStr">
        <is>
          <t>error = 'Email không tồn tại trên hệ thống'</t>
        </is>
      </c>
      <c r="E29" s="7" t="n"/>
      <c r="F29" s="7" t="n"/>
      <c r="G29" s="7" t="inlineStr">
        <is>
          <t>O</t>
        </is>
      </c>
      <c r="H29" s="7" t="n"/>
      <c r="I29" s="7" t="n"/>
      <c r="J29" s="7" t="n"/>
      <c r="K29" s="7" t="n"/>
      <c r="L29" s="7" t="n"/>
      <c r="M29" s="7" t="n"/>
    </row>
    <row r="30" ht="21" customHeight="1">
      <c r="A30" s="11" t="n"/>
      <c r="B30" s="11" t="n"/>
      <c r="C30" s="11" t="n"/>
      <c r="D30" s="4" t="inlineStr">
        <is>
          <t>error = 'Email không được để trống'</t>
        </is>
      </c>
      <c r="E30" s="7" t="n"/>
      <c r="F30" s="7" t="n"/>
      <c r="G30" s="7" t="n"/>
      <c r="H30" s="7" t="inlineStr">
        <is>
          <t>O</t>
        </is>
      </c>
      <c r="I30" s="7" t="n"/>
      <c r="J30" s="7" t="n"/>
      <c r="K30" s="7" t="n"/>
      <c r="L30" s="7" t="n"/>
      <c r="M30" s="7" t="n"/>
    </row>
    <row r="31" ht="21" customHeight="1">
      <c r="A31" s="11" t="n"/>
      <c r="B31" s="11" t="n"/>
      <c r="C31" s="11" t="n"/>
      <c r="D31" s="4" t="inlineStr">
        <is>
          <t>error = 'Mật khẩu không được để trống'</t>
        </is>
      </c>
      <c r="E31" s="7" t="n"/>
      <c r="F31" s="7" t="n"/>
      <c r="G31" s="7" t="n"/>
      <c r="H31" s="7" t="n"/>
      <c r="I31" s="7" t="inlineStr">
        <is>
          <t>O</t>
        </is>
      </c>
      <c r="J31" s="7" t="n"/>
      <c r="K31" s="7" t="n"/>
      <c r="L31" s="7" t="n"/>
      <c r="M31" s="7" t="n"/>
    </row>
    <row r="32" ht="21" customHeight="1">
      <c r="A32" s="11" t="n"/>
      <c r="B32" s="11" t="n"/>
      <c r="C32" s="11" t="n"/>
      <c r="D32" s="4" t="inlineStr">
        <is>
          <t>error = 'Tài khoản của bạn đang bị khóa do vi phạm quy chế'</t>
        </is>
      </c>
      <c r="E32" s="7" t="n"/>
      <c r="F32" s="7" t="n"/>
      <c r="G32" s="7" t="n"/>
      <c r="H32" s="7" t="n"/>
      <c r="I32" s="7" t="n"/>
      <c r="J32" s="7" t="inlineStr">
        <is>
          <t>O</t>
        </is>
      </c>
      <c r="K32" s="7" t="n"/>
      <c r="L32" s="7" t="n"/>
      <c r="M32" s="7" t="n"/>
    </row>
    <row r="33" ht="21" customHeight="1">
      <c r="A33" s="11" t="n"/>
      <c r="B33" s="11" t="n"/>
      <c r="C33" s="11" t="n"/>
      <c r="D33" s="4" t="inlineStr">
        <is>
          <t>Khôi phục phiên đăng nhập thành công</t>
        </is>
      </c>
      <c r="E33" s="7" t="n"/>
      <c r="F33" s="7" t="n"/>
      <c r="G33" s="7" t="n"/>
      <c r="H33" s="7" t="n"/>
      <c r="I33" s="7" t="n"/>
      <c r="J33" s="7" t="n"/>
      <c r="K33" s="7" t="inlineStr">
        <is>
          <t>O</t>
        </is>
      </c>
      <c r="L33" s="7" t="n"/>
      <c r="M33" s="7" t="n"/>
    </row>
    <row r="34" ht="21" customHeight="1">
      <c r="A34" s="11" t="n"/>
      <c r="B34" s="11" t="n"/>
      <c r="C34" s="11" t="n"/>
      <c r="D34" s="4" t="inlineStr">
        <is>
          <t>Khởi động ở trạng thái Guest (chưa đăng nhập)</t>
        </is>
      </c>
      <c r="E34" s="7" t="n"/>
      <c r="F34" s="7" t="n"/>
      <c r="G34" s="7" t="n"/>
      <c r="H34" s="7" t="n"/>
      <c r="I34" s="7" t="n"/>
      <c r="J34" s="7" t="n"/>
      <c r="K34" s="7" t="n"/>
      <c r="L34" s="7" t="inlineStr">
        <is>
          <t>O</t>
        </is>
      </c>
      <c r="M34" s="7" t="n"/>
    </row>
    <row r="35" ht="21" customHeight="1">
      <c r="A35" s="11" t="n"/>
      <c r="B35" s="11" t="n"/>
      <c r="C35" s="11" t="n"/>
      <c r="D35" s="4" t="inlineStr">
        <is>
          <t>Xóa sạch phiên, chuyển về trạng thái Guest</t>
        </is>
      </c>
      <c r="E35" s="7" t="n"/>
      <c r="F35" s="7" t="n"/>
      <c r="G35" s="7" t="n"/>
      <c r="H35" s="7" t="n"/>
      <c r="I35" s="7" t="n"/>
      <c r="J35" s="7" t="n"/>
      <c r="K35" s="7" t="n"/>
      <c r="L35" s="7" t="n"/>
      <c r="M35" s="7" t="inlineStr">
        <is>
          <t>O</t>
        </is>
      </c>
    </row>
    <row r="37" ht="23" customHeight="1">
      <c r="A37" s="6" t="inlineStr">
        <is>
          <t>Result</t>
        </is>
      </c>
      <c r="B37" s="6" t="inlineStr">
        <is>
          <t>Type(N : Normal, A : Abnormal, B : Boundary)</t>
        </is>
      </c>
      <c r="C37" s="6" t="n"/>
      <c r="D37" s="6" t="n"/>
      <c r="E37" s="6" t="inlineStr">
        <is>
          <t>N</t>
        </is>
      </c>
      <c r="F37" s="6" t="inlineStr">
        <is>
          <t>A</t>
        </is>
      </c>
      <c r="G37" s="6" t="inlineStr">
        <is>
          <t>A</t>
        </is>
      </c>
      <c r="H37" s="6" t="inlineStr">
        <is>
          <t>A</t>
        </is>
      </c>
      <c r="I37" s="6" t="inlineStr">
        <is>
          <t>A</t>
        </is>
      </c>
      <c r="J37" s="6" t="inlineStr">
        <is>
          <t>A</t>
        </is>
      </c>
      <c r="K37" s="6" t="inlineStr">
        <is>
          <t>N</t>
        </is>
      </c>
      <c r="L37" s="6" t="inlineStr">
        <is>
          <t>N</t>
        </is>
      </c>
      <c r="M37" s="6" t="inlineStr">
        <is>
          <t>N</t>
        </is>
      </c>
    </row>
    <row r="38" ht="23" customHeight="1">
      <c r="A38" s="11" t="n"/>
      <c r="B38" s="24" t="inlineStr">
        <is>
          <t>Passed/Failed</t>
        </is>
      </c>
      <c r="C38" s="11" t="n"/>
      <c r="D38" s="11" t="n"/>
      <c r="E38" s="25" t="inlineStr">
        <is>
          <t>P</t>
        </is>
      </c>
      <c r="F38" s="25" t="inlineStr">
        <is>
          <t>P</t>
        </is>
      </c>
      <c r="G38" s="25" t="inlineStr">
        <is>
          <t>P</t>
        </is>
      </c>
      <c r="H38" s="25" t="inlineStr">
        <is>
          <t>P</t>
        </is>
      </c>
      <c r="I38" s="25" t="inlineStr">
        <is>
          <t>P</t>
        </is>
      </c>
      <c r="J38" s="25" t="inlineStr">
        <is>
          <t>P</t>
        </is>
      </c>
      <c r="K38" s="25" t="inlineStr">
        <is>
          <t>P</t>
        </is>
      </c>
      <c r="L38" s="25" t="inlineStr">
        <is>
          <t>P</t>
        </is>
      </c>
      <c r="M38" s="25" t="inlineStr">
        <is>
          <t>P</t>
        </is>
      </c>
    </row>
    <row r="39" ht="21" customHeight="1">
      <c r="A39" s="11" t="n"/>
      <c r="B39" s="14" t="inlineStr">
        <is>
          <t>Executed Date</t>
        </is>
      </c>
      <c r="C39" s="11" t="n"/>
      <c r="D39" s="11" t="n"/>
      <c r="E39" s="26" t="inlineStr">
        <is>
          <t>26/09/2026</t>
        </is>
      </c>
      <c r="F39" s="26" t="inlineStr">
        <is>
          <t>26/09/2026</t>
        </is>
      </c>
      <c r="G39" s="26" t="inlineStr">
        <is>
          <t>26/09/2026</t>
        </is>
      </c>
      <c r="H39" s="26" t="inlineStr">
        <is>
          <t>26/09/2026</t>
        </is>
      </c>
      <c r="I39" s="26" t="inlineStr">
        <is>
          <t>26/09/2026</t>
        </is>
      </c>
      <c r="J39" s="26" t="inlineStr">
        <is>
          <t>26/09/2026</t>
        </is>
      </c>
      <c r="K39" s="26" t="inlineStr">
        <is>
          <t>26/09/2026</t>
        </is>
      </c>
      <c r="L39" s="26" t="inlineStr">
        <is>
          <t>26/09/2026</t>
        </is>
      </c>
      <c r="M39" s="26" t="inlineStr">
        <is>
          <t>26/09/2026</t>
        </is>
      </c>
    </row>
    <row r="40" ht="21" customHeight="1">
      <c r="A40" s="11" t="n"/>
      <c r="B40" s="14" t="inlineStr">
        <is>
          <t>Defect ID</t>
        </is>
      </c>
      <c r="C40" s="11" t="n"/>
      <c r="D40" s="11" t="n"/>
      <c r="E40" s="27" t="inlineStr"/>
      <c r="F40" s="27" t="inlineStr"/>
      <c r="G40" s="27" t="inlineStr"/>
      <c r="H40" s="27" t="inlineStr"/>
      <c r="I40" s="27" t="inlineStr"/>
      <c r="J40" s="27" t="inlineStr"/>
      <c r="K40" s="27" t="inlineStr"/>
      <c r="L40" s="27" t="inlineStr"/>
      <c r="M40" s="27"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2:N34"/>
  <sheetViews>
    <sheetView workbookViewId="0">
      <selection activeCell="A1" sqref="A1"/>
    </sheetView>
  </sheetViews>
  <sheetFormatPr baseColWidth="8" defaultRowHeight="15"/>
  <cols>
    <col width="12" customWidth="1" min="1" max="1"/>
    <col width="24" customWidth="1" min="2" max="2"/>
    <col width="12" customWidth="1" min="3" max="3"/>
    <col width="48"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s>
  <sheetData>
    <row r="2" ht="22" customHeight="1">
      <c r="A2" s="5" t="inlineStr">
        <is>
          <t>Function Code</t>
        </is>
      </c>
      <c r="C2" s="19" t="inlineStr">
        <is>
          <t>F_WAL_DEP</t>
        </is>
      </c>
      <c r="E2" s="5" t="inlineStr">
        <is>
          <t>Function Name</t>
        </is>
      </c>
      <c r="G2" s="18" t="inlineStr">
        <is>
          <t>validateDepositAmount</t>
        </is>
      </c>
    </row>
    <row r="3" ht="22" customHeight="1">
      <c r="A3" s="5" t="inlineStr">
        <is>
          <t>Created By</t>
        </is>
      </c>
      <c r="C3" s="18" t="inlineStr">
        <is>
          <t>Nhóm 15</t>
        </is>
      </c>
      <c r="E3" s="5" t="inlineStr">
        <is>
          <t>Executed By</t>
        </is>
      </c>
      <c r="G3" s="18" t="inlineStr">
        <is>
          <t>Nhóm 15 (Automation)</t>
        </is>
      </c>
    </row>
    <row r="4" ht="22" customHeight="1">
      <c r="A4" s="5" t="inlineStr">
        <is>
          <t>Lines of code</t>
        </is>
      </c>
      <c r="C4" s="18" t="n">
        <v>20</v>
      </c>
    </row>
    <row r="5" ht="22" customHeight="1">
      <c r="A5" s="5" t="inlineStr">
        <is>
          <t>Test requirement</t>
        </is>
      </c>
      <c r="C5" s="18" t="inlineStr">
        <is>
          <t>Kiểm tra hợp lệ hạn mức nạp tiền ví qua VietQR Auto (BVA 10.000đ - 5.000.000đ, số nguyên dương)</t>
        </is>
      </c>
    </row>
    <row r="6" ht="22" customHeight="1">
      <c r="A6" s="6" t="inlineStr">
        <is>
          <t>Passed</t>
        </is>
      </c>
      <c r="C6" s="6" t="inlineStr">
        <is>
          <t>Failed</t>
        </is>
      </c>
      <c r="E6" s="6" t="inlineStr">
        <is>
          <t>Untested</t>
        </is>
      </c>
      <c r="K6" s="6" t="inlineStr">
        <is>
          <t>N</t>
        </is>
      </c>
      <c r="L6" s="6" t="inlineStr">
        <is>
          <t>A</t>
        </is>
      </c>
      <c r="M6" s="6" t="inlineStr">
        <is>
          <t>B</t>
        </is>
      </c>
      <c r="N6" s="6" t="inlineStr">
        <is>
          <t>Total Test Cases</t>
        </is>
      </c>
    </row>
    <row r="7" ht="24" customHeight="1">
      <c r="A7" s="20">
        <f>COUNTIF(E32:N32,"P")</f>
        <v/>
      </c>
      <c r="C7" s="20">
        <f>COUNTIF(E32:N32,"F")</f>
        <v/>
      </c>
      <c r="E7" s="20">
        <f>SUM(N7,-A7,-C7)</f>
        <v/>
      </c>
      <c r="K7" s="20">
        <f>COUNTIF(E31:N31,"N")</f>
        <v/>
      </c>
      <c r="L7" s="20">
        <f>COUNTIF(E31:N31,"A")</f>
        <v/>
      </c>
      <c r="M7" s="20">
        <f>COUNTIF(E31:N31,"B")</f>
        <v/>
      </c>
      <c r="N7" s="20">
        <f>COUNTA(E9:N9)</f>
        <v/>
      </c>
    </row>
    <row r="9" ht="24" customHeight="1">
      <c r="E9" s="6" t="inlineStr">
        <is>
          <t>UTCID01</t>
        </is>
      </c>
      <c r="F9" s="6" t="inlineStr">
        <is>
          <t>UTCID02</t>
        </is>
      </c>
      <c r="G9" s="6" t="inlineStr">
        <is>
          <t>UTCID03</t>
        </is>
      </c>
      <c r="H9" s="6" t="inlineStr">
        <is>
          <t>UTCID04</t>
        </is>
      </c>
      <c r="I9" s="6" t="inlineStr">
        <is>
          <t>UTCID05</t>
        </is>
      </c>
      <c r="J9" s="6" t="inlineStr">
        <is>
          <t>UTCID06</t>
        </is>
      </c>
      <c r="K9" s="6" t="inlineStr">
        <is>
          <t>UTCID07</t>
        </is>
      </c>
      <c r="L9" s="6" t="inlineStr">
        <is>
          <t>UTCID08</t>
        </is>
      </c>
      <c r="M9" s="6" t="inlineStr">
        <is>
          <t>UTCID09</t>
        </is>
      </c>
      <c r="N9" s="6" t="inlineStr">
        <is>
          <t>UTCID10</t>
        </is>
      </c>
    </row>
    <row r="10" ht="22" customHeight="1">
      <c r="A10" s="6" t="inlineStr">
        <is>
          <t>Condition</t>
        </is>
      </c>
      <c r="B10" s="6" t="inlineStr">
        <is>
          <t>Precondition</t>
        </is>
      </c>
      <c r="D10" s="6" t="inlineStr">
        <is>
          <t>N/A</t>
        </is>
      </c>
      <c r="E10" s="21" t="n"/>
      <c r="F10" s="21" t="n"/>
      <c r="G10" s="21" t="n"/>
      <c r="H10" s="21" t="n"/>
      <c r="I10" s="21" t="n"/>
      <c r="J10" s="21" t="n"/>
      <c r="K10" s="21" t="n"/>
      <c r="L10" s="21" t="n"/>
      <c r="M10" s="21" t="n"/>
      <c r="N10" s="21" t="n"/>
    </row>
    <row r="12" ht="22" customHeight="1">
      <c r="A12" s="22" t="n"/>
      <c r="B12" s="23" t="inlineStr">
        <is>
          <t>Số tiền nạp (VNĐ)</t>
        </is>
      </c>
      <c r="C12" s="22" t="n"/>
      <c r="D12" s="22" t="n"/>
      <c r="E12" s="22" t="n"/>
      <c r="F12" s="22" t="n"/>
      <c r="G12" s="22" t="n"/>
      <c r="H12" s="22" t="n"/>
      <c r="I12" s="22" t="n"/>
      <c r="J12" s="22" t="n"/>
      <c r="K12" s="22" t="n"/>
      <c r="L12" s="22" t="n"/>
      <c r="M12" s="22" t="n"/>
      <c r="N12" s="22" t="n"/>
    </row>
    <row r="13" ht="21" customHeight="1">
      <c r="A13" s="11" t="n"/>
      <c r="B13" s="11" t="n"/>
      <c r="C13" s="11" t="n"/>
      <c r="D13" s="4" t="inlineStr">
        <is>
          <t>9.999 VNĐ (Ngay dưới biên min)</t>
        </is>
      </c>
      <c r="E13" s="7" t="inlineStr">
        <is>
          <t>O</t>
        </is>
      </c>
      <c r="F13" s="7" t="n"/>
      <c r="G13" s="7" t="n"/>
      <c r="H13" s="7" t="n"/>
      <c r="I13" s="7" t="n"/>
      <c r="J13" s="7" t="n"/>
      <c r="K13" s="7" t="n"/>
      <c r="L13" s="7" t="n"/>
      <c r="M13" s="7" t="n"/>
      <c r="N13" s="7" t="n"/>
    </row>
    <row r="14" ht="21" customHeight="1">
      <c r="A14" s="11" t="n"/>
      <c r="B14" s="11" t="n"/>
      <c r="C14" s="11" t="n"/>
      <c r="D14" s="4" t="inlineStr">
        <is>
          <t>10.000 VNĐ (Tại biên min hợp lệ)</t>
        </is>
      </c>
      <c r="E14" s="7" t="n"/>
      <c r="F14" s="7" t="inlineStr">
        <is>
          <t>O</t>
        </is>
      </c>
      <c r="G14" s="7" t="n"/>
      <c r="H14" s="7" t="n"/>
      <c r="I14" s="7" t="n"/>
      <c r="J14" s="7" t="n"/>
      <c r="K14" s="7" t="n"/>
      <c r="L14" s="7" t="n"/>
      <c r="M14" s="7" t="n"/>
      <c r="N14" s="7" t="n"/>
    </row>
    <row r="15" ht="21" customHeight="1">
      <c r="A15" s="11" t="n"/>
      <c r="B15" s="11" t="n"/>
      <c r="C15" s="11" t="n"/>
      <c r="D15" s="4" t="inlineStr">
        <is>
          <t>11.000 VNĐ (Ngay trên biên min)</t>
        </is>
      </c>
      <c r="E15" s="7" t="n"/>
      <c r="F15" s="7" t="n"/>
      <c r="G15" s="7" t="inlineStr">
        <is>
          <t>O</t>
        </is>
      </c>
      <c r="H15" s="7" t="n"/>
      <c r="I15" s="7" t="n"/>
      <c r="J15" s="7" t="n"/>
      <c r="K15" s="7" t="n"/>
      <c r="L15" s="7" t="n"/>
      <c r="M15" s="7" t="n"/>
      <c r="N15" s="7" t="n"/>
    </row>
    <row r="16" ht="21" customHeight="1">
      <c r="A16" s="11" t="n"/>
      <c r="B16" s="11" t="n"/>
      <c r="C16" s="11" t="n"/>
      <c r="D16" s="4" t="inlineStr">
        <is>
          <t>200.000 VNĐ (Gói nạp thông dụng)</t>
        </is>
      </c>
      <c r="E16" s="7" t="n"/>
      <c r="F16" s="7" t="n"/>
      <c r="G16" s="7" t="n"/>
      <c r="H16" s="7" t="inlineStr">
        <is>
          <t>O</t>
        </is>
      </c>
      <c r="I16" s="7" t="n"/>
      <c r="J16" s="7" t="n"/>
      <c r="K16" s="7" t="n"/>
      <c r="L16" s="7" t="n"/>
      <c r="M16" s="7" t="n"/>
      <c r="N16" s="7" t="n"/>
    </row>
    <row r="17" ht="21" customHeight="1">
      <c r="A17" s="11" t="n"/>
      <c r="B17" s="11" t="n"/>
      <c r="C17" s="11" t="n"/>
      <c r="D17" s="4" t="inlineStr">
        <is>
          <t>1.000.000 VNĐ (Gói nạp VIP)</t>
        </is>
      </c>
      <c r="E17" s="7" t="n"/>
      <c r="F17" s="7" t="n"/>
      <c r="G17" s="7" t="n"/>
      <c r="H17" s="7" t="n"/>
      <c r="I17" s="7" t="inlineStr">
        <is>
          <t>O</t>
        </is>
      </c>
      <c r="J17" s="7" t="n"/>
      <c r="K17" s="7" t="n"/>
      <c r="L17" s="7" t="n"/>
      <c r="M17" s="7" t="n"/>
      <c r="N17" s="7" t="n"/>
    </row>
    <row r="18" ht="21" customHeight="1">
      <c r="A18" s="11" t="n"/>
      <c r="B18" s="11" t="n"/>
      <c r="C18" s="11" t="n"/>
      <c r="D18" s="4" t="inlineStr">
        <is>
          <t>4.999.000 VNĐ (Ngay dưới biên max)</t>
        </is>
      </c>
      <c r="E18" s="7" t="n"/>
      <c r="F18" s="7" t="n"/>
      <c r="G18" s="7" t="n"/>
      <c r="H18" s="7" t="n"/>
      <c r="I18" s="7" t="n"/>
      <c r="J18" s="7" t="inlineStr">
        <is>
          <t>O</t>
        </is>
      </c>
      <c r="K18" s="7" t="n"/>
      <c r="L18" s="7" t="n"/>
      <c r="M18" s="7" t="n"/>
      <c r="N18" s="7" t="n"/>
    </row>
    <row r="19" ht="21" customHeight="1">
      <c r="A19" s="11" t="n"/>
      <c r="B19" s="11" t="n"/>
      <c r="C19" s="11" t="n"/>
      <c r="D19" s="4" t="inlineStr">
        <is>
          <t>5.000.000 VNĐ (Tại biên max hợp lệ)</t>
        </is>
      </c>
      <c r="E19" s="7" t="n"/>
      <c r="F19" s="7" t="n"/>
      <c r="G19" s="7" t="n"/>
      <c r="H19" s="7" t="n"/>
      <c r="I19" s="7" t="n"/>
      <c r="J19" s="7" t="n"/>
      <c r="K19" s="7" t="inlineStr">
        <is>
          <t>O</t>
        </is>
      </c>
      <c r="L19" s="7" t="n"/>
      <c r="M19" s="7" t="n"/>
      <c r="N19" s="7" t="n"/>
    </row>
    <row r="20" ht="21" customHeight="1">
      <c r="A20" s="11" t="n"/>
      <c r="B20" s="11" t="n"/>
      <c r="C20" s="11" t="n"/>
      <c r="D20" s="4" t="inlineStr">
        <is>
          <t>5.001.000 VNĐ (Vượt quá biên max)</t>
        </is>
      </c>
      <c r="E20" s="7" t="n"/>
      <c r="F20" s="7" t="n"/>
      <c r="G20" s="7" t="n"/>
      <c r="H20" s="7" t="n"/>
      <c r="I20" s="7" t="n"/>
      <c r="J20" s="7" t="n"/>
      <c r="K20" s="7" t="n"/>
      <c r="L20" s="7" t="inlineStr">
        <is>
          <t>O</t>
        </is>
      </c>
      <c r="M20" s="7" t="n"/>
      <c r="N20" s="7" t="n"/>
    </row>
    <row r="21" ht="21" customHeight="1">
      <c r="A21" s="11" t="n"/>
      <c r="B21" s="11" t="n"/>
      <c r="C21" s="11" t="n"/>
      <c r="D21" s="4" t="inlineStr">
        <is>
          <t>-50.000 VNĐ (Số tiền âm)</t>
        </is>
      </c>
      <c r="E21" s="7" t="n"/>
      <c r="F21" s="7" t="n"/>
      <c r="G21" s="7" t="n"/>
      <c r="H21" s="7" t="n"/>
      <c r="I21" s="7" t="n"/>
      <c r="J21" s="7" t="n"/>
      <c r="K21" s="7" t="n"/>
      <c r="L21" s="7" t="n"/>
      <c r="M21" s="7" t="inlineStr">
        <is>
          <t>O</t>
        </is>
      </c>
      <c r="N21" s="7" t="n"/>
    </row>
    <row r="22" ht="21" customHeight="1">
      <c r="A22" s="11" t="n"/>
      <c r="B22" s="11" t="n"/>
      <c r="C22" s="11" t="n"/>
      <c r="D22" s="4" t="inlineStr">
        <is>
          <t>'abc@123' (Ký tự chữ / ký tự đặc biệt)</t>
        </is>
      </c>
      <c r="E22" s="7" t="n"/>
      <c r="F22" s="7" t="n"/>
      <c r="G22" s="7" t="n"/>
      <c r="H22" s="7" t="n"/>
      <c r="I22" s="7" t="n"/>
      <c r="J22" s="7" t="n"/>
      <c r="K22" s="7" t="n"/>
      <c r="L22" s="7" t="n"/>
      <c r="M22" s="7" t="n"/>
      <c r="N22" s="7" t="inlineStr">
        <is>
          <t>O</t>
        </is>
      </c>
    </row>
    <row r="24" ht="24" customHeight="1">
      <c r="A24" s="6" t="inlineStr">
        <is>
          <t>Confirm</t>
        </is>
      </c>
      <c r="B24" s="6" t="inlineStr">
        <is>
          <t>Return / Exception</t>
        </is>
      </c>
      <c r="C24" s="6" t="n"/>
      <c r="D24" s="6" t="n"/>
      <c r="E24" s="6" t="n"/>
      <c r="F24" s="6" t="n"/>
      <c r="G24" s="6" t="n"/>
      <c r="H24" s="6" t="n"/>
      <c r="I24" s="6" t="n"/>
      <c r="J24" s="6" t="n"/>
      <c r="K24" s="6" t="n"/>
      <c r="L24" s="6" t="n"/>
      <c r="M24" s="6" t="n"/>
      <c r="N24" s="6" t="n"/>
    </row>
    <row r="25" ht="21" customHeight="1">
      <c r="A25" s="11" t="n"/>
      <c r="B25" s="11" t="n"/>
      <c r="C25" s="11" t="n"/>
      <c r="D25" s="4" t="inlineStr">
        <is>
          <t>isValid = true, amount xác định</t>
        </is>
      </c>
      <c r="E25" s="7" t="n"/>
      <c r="F25" s="7" t="inlineStr">
        <is>
          <t>O</t>
        </is>
      </c>
      <c r="G25" s="7" t="inlineStr">
        <is>
          <t>O</t>
        </is>
      </c>
      <c r="H25" s="7" t="inlineStr">
        <is>
          <t>O</t>
        </is>
      </c>
      <c r="I25" s="7" t="inlineStr">
        <is>
          <t>O</t>
        </is>
      </c>
      <c r="J25" s="7" t="inlineStr">
        <is>
          <t>O</t>
        </is>
      </c>
      <c r="K25" s="7" t="inlineStr">
        <is>
          <t>O</t>
        </is>
      </c>
      <c r="L25" s="7" t="n"/>
      <c r="M25" s="7" t="n"/>
      <c r="N25" s="7" t="n"/>
    </row>
    <row r="26" ht="21" customHeight="1">
      <c r="A26" s="11" t="n"/>
      <c r="B26" s="11" t="n"/>
      <c r="C26" s="11" t="n"/>
      <c r="D26" s="4" t="inlineStr">
        <is>
          <t>error = 'Số tiền nạp tối thiểu là 10.000 VNĐ'</t>
        </is>
      </c>
      <c r="E26" s="7" t="inlineStr">
        <is>
          <t>O</t>
        </is>
      </c>
      <c r="F26" s="7" t="n"/>
      <c r="G26" s="7" t="n"/>
      <c r="H26" s="7" t="n"/>
      <c r="I26" s="7" t="n"/>
      <c r="J26" s="7" t="n"/>
      <c r="K26" s="7" t="n"/>
      <c r="L26" s="7" t="n"/>
      <c r="M26" s="7" t="n"/>
      <c r="N26" s="7" t="n"/>
    </row>
    <row r="27" ht="21" customHeight="1">
      <c r="A27" s="11" t="n"/>
      <c r="B27" s="11" t="n"/>
      <c r="C27" s="11" t="n"/>
      <c r="D27" s="4" t="inlineStr">
        <is>
          <t>error = 'Số tiền nạp tối đa là 5.000.000 VNĐ'</t>
        </is>
      </c>
      <c r="E27" s="7" t="n"/>
      <c r="F27" s="7" t="n"/>
      <c r="G27" s="7" t="n"/>
      <c r="H27" s="7" t="n"/>
      <c r="I27" s="7" t="n"/>
      <c r="J27" s="7" t="n"/>
      <c r="K27" s="7" t="n"/>
      <c r="L27" s="7" t="inlineStr">
        <is>
          <t>O</t>
        </is>
      </c>
      <c r="M27" s="7" t="n"/>
      <c r="N27" s="7" t="n"/>
    </row>
    <row r="28" ht="21" customHeight="1">
      <c r="A28" s="11" t="n"/>
      <c r="B28" s="11" t="n"/>
      <c r="C28" s="11" t="n"/>
      <c r="D28" s="4" t="inlineStr">
        <is>
          <t>error = 'Số tiền nạp phải là số nguyên dương'</t>
        </is>
      </c>
      <c r="E28" s="7" t="n"/>
      <c r="F28" s="7" t="n"/>
      <c r="G28" s="7" t="n"/>
      <c r="H28" s="7" t="n"/>
      <c r="I28" s="7" t="n"/>
      <c r="J28" s="7" t="n"/>
      <c r="K28" s="7" t="n"/>
      <c r="L28" s="7" t="n"/>
      <c r="M28" s="7" t="inlineStr">
        <is>
          <t>O</t>
        </is>
      </c>
      <c r="N28" s="7" t="n"/>
    </row>
    <row r="29" ht="21" customHeight="1">
      <c r="A29" s="11" t="n"/>
      <c r="B29" s="11" t="n"/>
      <c r="C29" s="11" t="n"/>
      <c r="D29" s="4" t="inlineStr">
        <is>
          <t>error = 'Vui lòng nhập số tiền hợp lệ'</t>
        </is>
      </c>
      <c r="E29" s="7" t="n"/>
      <c r="F29" s="7" t="n"/>
      <c r="G29" s="7" t="n"/>
      <c r="H29" s="7" t="n"/>
      <c r="I29" s="7" t="n"/>
      <c r="J29" s="7" t="n"/>
      <c r="K29" s="7" t="n"/>
      <c r="L29" s="7" t="n"/>
      <c r="M29" s="7" t="n"/>
      <c r="N29" s="7" t="inlineStr">
        <is>
          <t>O</t>
        </is>
      </c>
    </row>
    <row r="31" ht="23" customHeight="1">
      <c r="A31" s="6" t="inlineStr">
        <is>
          <t>Result</t>
        </is>
      </c>
      <c r="B31" s="6" t="inlineStr">
        <is>
          <t>Type(N : Normal, A : Abnormal, B : Boundary)</t>
        </is>
      </c>
      <c r="C31" s="6" t="n"/>
      <c r="D31" s="6" t="n"/>
      <c r="E31" s="6" t="inlineStr">
        <is>
          <t>B</t>
        </is>
      </c>
      <c r="F31" s="6" t="inlineStr">
        <is>
          <t>B</t>
        </is>
      </c>
      <c r="G31" s="6" t="inlineStr">
        <is>
          <t>B</t>
        </is>
      </c>
      <c r="H31" s="6" t="inlineStr">
        <is>
          <t>N</t>
        </is>
      </c>
      <c r="I31" s="6" t="inlineStr">
        <is>
          <t>N</t>
        </is>
      </c>
      <c r="J31" s="6" t="inlineStr">
        <is>
          <t>B</t>
        </is>
      </c>
      <c r="K31" s="6" t="inlineStr">
        <is>
          <t>B</t>
        </is>
      </c>
      <c r="L31" s="6" t="inlineStr">
        <is>
          <t>B</t>
        </is>
      </c>
      <c r="M31" s="6" t="inlineStr">
        <is>
          <t>A</t>
        </is>
      </c>
      <c r="N31" s="6" t="inlineStr">
        <is>
          <t>A</t>
        </is>
      </c>
    </row>
    <row r="32" ht="23" customHeight="1">
      <c r="A32" s="11" t="n"/>
      <c r="B32" s="24" t="inlineStr">
        <is>
          <t>Passed/Failed</t>
        </is>
      </c>
      <c r="C32" s="11" t="n"/>
      <c r="D32" s="11" t="n"/>
      <c r="E32" s="25" t="inlineStr">
        <is>
          <t>P</t>
        </is>
      </c>
      <c r="F32" s="25" t="inlineStr">
        <is>
          <t>P</t>
        </is>
      </c>
      <c r="G32" s="25" t="inlineStr">
        <is>
          <t>P</t>
        </is>
      </c>
      <c r="H32" s="25" t="inlineStr">
        <is>
          <t>P</t>
        </is>
      </c>
      <c r="I32" s="25" t="inlineStr">
        <is>
          <t>P</t>
        </is>
      </c>
      <c r="J32" s="25" t="inlineStr">
        <is>
          <t>P</t>
        </is>
      </c>
      <c r="K32" s="25" t="inlineStr">
        <is>
          <t>P</t>
        </is>
      </c>
      <c r="L32" s="25" t="inlineStr">
        <is>
          <t>P</t>
        </is>
      </c>
      <c r="M32" s="25" t="inlineStr">
        <is>
          <t>P</t>
        </is>
      </c>
      <c r="N32" s="25" t="inlineStr">
        <is>
          <t>P</t>
        </is>
      </c>
    </row>
    <row r="33" ht="21" customHeight="1">
      <c r="A33" s="11" t="n"/>
      <c r="B33" s="14" t="inlineStr">
        <is>
          <t>Executed Date</t>
        </is>
      </c>
      <c r="C33" s="11" t="n"/>
      <c r="D33" s="11" t="n"/>
      <c r="E33" s="26" t="inlineStr">
        <is>
          <t>26/09/2026</t>
        </is>
      </c>
      <c r="F33" s="26" t="inlineStr">
        <is>
          <t>26/09/2026</t>
        </is>
      </c>
      <c r="G33" s="26" t="inlineStr">
        <is>
          <t>26/09/2026</t>
        </is>
      </c>
      <c r="H33" s="26" t="inlineStr">
        <is>
          <t>26/09/2026</t>
        </is>
      </c>
      <c r="I33" s="26" t="inlineStr">
        <is>
          <t>26/09/2026</t>
        </is>
      </c>
      <c r="J33" s="26" t="inlineStr">
        <is>
          <t>26/09/2026</t>
        </is>
      </c>
      <c r="K33" s="26" t="inlineStr">
        <is>
          <t>26/09/2026</t>
        </is>
      </c>
      <c r="L33" s="26" t="inlineStr">
        <is>
          <t>26/09/2026</t>
        </is>
      </c>
      <c r="M33" s="26" t="inlineStr">
        <is>
          <t>26/09/2026</t>
        </is>
      </c>
      <c r="N33" s="26" t="inlineStr">
        <is>
          <t>26/09/2026</t>
        </is>
      </c>
    </row>
    <row r="34" ht="21" customHeight="1">
      <c r="A34" s="11" t="n"/>
      <c r="B34" s="14" t="inlineStr">
        <is>
          <t>Defect ID</t>
        </is>
      </c>
      <c r="C34" s="11" t="n"/>
      <c r="D34" s="11" t="n"/>
      <c r="E34" s="27" t="inlineStr"/>
      <c r="F34" s="27" t="inlineStr"/>
      <c r="G34" s="27" t="inlineStr"/>
      <c r="H34" s="27" t="inlineStr"/>
      <c r="I34" s="27" t="inlineStr"/>
      <c r="J34" s="27" t="inlineStr"/>
      <c r="K34" s="27" t="inlineStr"/>
      <c r="L34" s="27" t="inlineStr"/>
      <c r="M34" s="27" t="inlineStr"/>
      <c r="N34" s="27"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2:R44"/>
  <sheetViews>
    <sheetView workbookViewId="0">
      <selection activeCell="A1" sqref="A1"/>
    </sheetView>
  </sheetViews>
  <sheetFormatPr baseColWidth="8" defaultRowHeight="15"/>
  <cols>
    <col width="12" customWidth="1" min="1" max="1"/>
    <col width="24" customWidth="1" min="2" max="2"/>
    <col width="12" customWidth="1" min="3" max="3"/>
    <col width="48"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s>
  <sheetData>
    <row r="2" ht="22" customHeight="1">
      <c r="A2" s="5" t="inlineStr">
        <is>
          <t>Function Code</t>
        </is>
      </c>
      <c r="C2" s="19" t="inlineStr">
        <is>
          <t>F_RENT_CALC</t>
        </is>
      </c>
      <c r="E2" s="5" t="inlineStr">
        <is>
          <t>Function Name</t>
        </is>
      </c>
      <c r="G2" s="18" t="inlineStr">
        <is>
          <t>calculateRentalCost</t>
        </is>
      </c>
    </row>
    <row r="3" ht="22" customHeight="1">
      <c r="A3" s="5" t="inlineStr">
        <is>
          <t>Created By</t>
        </is>
      </c>
      <c r="C3" s="18" t="inlineStr">
        <is>
          <t>Nhóm 15</t>
        </is>
      </c>
      <c r="E3" s="5" t="inlineStr">
        <is>
          <t>Executed By</t>
        </is>
      </c>
      <c r="G3" s="18" t="inlineStr">
        <is>
          <t>Nhóm 15 (Automation)</t>
        </is>
      </c>
    </row>
    <row r="4" ht="22" customHeight="1">
      <c r="A4" s="5" t="inlineStr">
        <is>
          <t>Lines of code</t>
        </is>
      </c>
      <c r="C4" s="18" t="n">
        <v>42</v>
      </c>
    </row>
    <row r="5" ht="22" customHeight="1">
      <c r="A5" s="5" t="inlineStr">
        <is>
          <t>Test requirement</t>
        </is>
      </c>
      <c r="C5" s="18" t="inlineStr">
        <is>
          <t>Tính chi phí thuê và kiểm tra số dư ví theo Decision Table (BVA 1h - 48h, trạng thái acc, đủ/thiếu ví)</t>
        </is>
      </c>
    </row>
    <row r="6" ht="22" customHeight="1">
      <c r="A6" s="6" t="inlineStr">
        <is>
          <t>Passed</t>
        </is>
      </c>
      <c r="C6" s="6" t="inlineStr">
        <is>
          <t>Failed</t>
        </is>
      </c>
      <c r="E6" s="6" t="inlineStr">
        <is>
          <t>Untested</t>
        </is>
      </c>
      <c r="K6" s="6" t="inlineStr">
        <is>
          <t>N</t>
        </is>
      </c>
      <c r="L6" s="6" t="inlineStr">
        <is>
          <t>A</t>
        </is>
      </c>
      <c r="M6" s="6" t="inlineStr">
        <is>
          <t>B</t>
        </is>
      </c>
      <c r="N6" s="6" t="inlineStr">
        <is>
          <t>Total Test Cases</t>
        </is>
      </c>
    </row>
    <row r="7" ht="24" customHeight="1">
      <c r="A7" s="20">
        <f>COUNTIF(E42:R42,"P")</f>
        <v/>
      </c>
      <c r="C7" s="20">
        <f>COUNTIF(E42:R42,"F")</f>
        <v/>
      </c>
      <c r="E7" s="20">
        <f>SUM(N7,-A7,-C7)</f>
        <v/>
      </c>
      <c r="K7" s="20">
        <f>COUNTIF(E41:R41,"N")</f>
        <v/>
      </c>
      <c r="L7" s="20">
        <f>COUNTIF(E41:R41,"A")</f>
        <v/>
      </c>
      <c r="M7" s="20">
        <f>COUNTIF(E41:R41,"B")</f>
        <v/>
      </c>
      <c r="N7" s="20">
        <f>COUNTA(E9:R9)</f>
        <v/>
      </c>
    </row>
    <row r="9" ht="24" customHeight="1">
      <c r="E9" s="6" t="inlineStr">
        <is>
          <t>UTCID01</t>
        </is>
      </c>
      <c r="F9" s="6" t="inlineStr">
        <is>
          <t>UTCID02</t>
        </is>
      </c>
      <c r="G9" s="6" t="inlineStr">
        <is>
          <t>UTCID03</t>
        </is>
      </c>
      <c r="H9" s="6" t="inlineStr">
        <is>
          <t>UTCID04</t>
        </is>
      </c>
      <c r="I9" s="6" t="inlineStr">
        <is>
          <t>UTCID05</t>
        </is>
      </c>
      <c r="J9" s="6" t="inlineStr">
        <is>
          <t>UTCID06</t>
        </is>
      </c>
      <c r="K9" s="6" t="inlineStr">
        <is>
          <t>UTCID07</t>
        </is>
      </c>
      <c r="L9" s="6" t="inlineStr">
        <is>
          <t>UTCID08</t>
        </is>
      </c>
      <c r="M9" s="6" t="inlineStr">
        <is>
          <t>UTCID09</t>
        </is>
      </c>
      <c r="N9" s="6" t="inlineStr">
        <is>
          <t>UTCID10</t>
        </is>
      </c>
      <c r="O9" s="6" t="inlineStr">
        <is>
          <t>UTCID11</t>
        </is>
      </c>
      <c r="P9" s="6" t="inlineStr">
        <is>
          <t>UTCID12</t>
        </is>
      </c>
      <c r="Q9" s="6" t="inlineStr">
        <is>
          <t>UTCID13</t>
        </is>
      </c>
      <c r="R9" s="6" t="inlineStr">
        <is>
          <t>UTCID14</t>
        </is>
      </c>
    </row>
    <row r="10" ht="22" customHeight="1">
      <c r="A10" s="6" t="inlineStr">
        <is>
          <t>Condition</t>
        </is>
      </c>
      <c r="B10" s="6" t="inlineStr">
        <is>
          <t>Precondition</t>
        </is>
      </c>
      <c r="D10" s="6" t="inlineStr">
        <is>
          <t>N/A</t>
        </is>
      </c>
      <c r="E10" s="21" t="n"/>
      <c r="F10" s="21" t="n"/>
      <c r="G10" s="21" t="n"/>
      <c r="H10" s="21" t="n"/>
      <c r="I10" s="21" t="n"/>
      <c r="J10" s="21" t="n"/>
      <c r="K10" s="21" t="n"/>
      <c r="L10" s="21" t="n"/>
      <c r="M10" s="21" t="n"/>
      <c r="N10" s="21" t="n"/>
      <c r="O10" s="21" t="n"/>
      <c r="P10" s="21" t="n"/>
      <c r="Q10" s="21" t="n"/>
      <c r="R10" s="21" t="n"/>
    </row>
    <row r="12" ht="22" customHeight="1">
      <c r="A12" s="22" t="n"/>
      <c r="B12" s="23" t="inlineStr">
        <is>
          <t>Số giờ thuê</t>
        </is>
      </c>
      <c r="C12" s="22" t="n"/>
      <c r="D12" s="22" t="n"/>
      <c r="E12" s="22" t="n"/>
      <c r="F12" s="22" t="n"/>
      <c r="G12" s="22" t="n"/>
      <c r="H12" s="22" t="n"/>
      <c r="I12" s="22" t="n"/>
      <c r="J12" s="22" t="n"/>
      <c r="K12" s="22" t="n"/>
      <c r="L12" s="22" t="n"/>
      <c r="M12" s="22" t="n"/>
      <c r="N12" s="22" t="n"/>
      <c r="O12" s="22" t="n"/>
      <c r="P12" s="22" t="n"/>
      <c r="Q12" s="22" t="n"/>
      <c r="R12" s="22" t="n"/>
    </row>
    <row r="13" ht="21" customHeight="1">
      <c r="A13" s="11" t="n"/>
      <c r="B13" s="11" t="n"/>
      <c r="C13" s="11" t="n"/>
      <c r="D13" s="4" t="inlineStr">
        <is>
          <t>1 giờ (Tại biên min)</t>
        </is>
      </c>
      <c r="E13" s="7" t="inlineStr">
        <is>
          <t>O</t>
        </is>
      </c>
      <c r="F13" s="7" t="n"/>
      <c r="G13" s="7" t="n"/>
      <c r="H13" s="7" t="n"/>
      <c r="I13" s="7" t="inlineStr">
        <is>
          <t>O</t>
        </is>
      </c>
      <c r="J13" s="7" t="inlineStr">
        <is>
          <t>O</t>
        </is>
      </c>
      <c r="K13" s="7" t="inlineStr">
        <is>
          <t>O</t>
        </is>
      </c>
      <c r="L13" s="7" t="inlineStr">
        <is>
          <t>O</t>
        </is>
      </c>
      <c r="M13" s="7" t="inlineStr">
        <is>
          <t>O</t>
        </is>
      </c>
      <c r="N13" s="7" t="inlineStr">
        <is>
          <t>O</t>
        </is>
      </c>
      <c r="O13" s="7" t="n"/>
      <c r="P13" s="7" t="n"/>
      <c r="Q13" s="7" t="n"/>
      <c r="R13" s="7" t="n"/>
    </row>
    <row r="14" ht="21" customHeight="1">
      <c r="A14" s="11" t="n"/>
      <c r="B14" s="11" t="n"/>
      <c r="C14" s="11" t="n"/>
      <c r="D14" s="4" t="inlineStr">
        <is>
          <t>0 giờ (Dưới biên min)</t>
        </is>
      </c>
      <c r="E14" s="7" t="n"/>
      <c r="F14" s="7" t="inlineStr">
        <is>
          <t>O</t>
        </is>
      </c>
      <c r="G14" s="7" t="n"/>
      <c r="H14" s="7" t="n"/>
      <c r="I14" s="7" t="n"/>
      <c r="J14" s="7" t="n"/>
      <c r="K14" s="7" t="n"/>
      <c r="L14" s="7" t="n"/>
      <c r="M14" s="7" t="n"/>
      <c r="N14" s="7" t="n"/>
      <c r="O14" s="7" t="n"/>
      <c r="P14" s="7" t="n"/>
      <c r="Q14" s="7" t="n"/>
      <c r="R14" s="7" t="n"/>
    </row>
    <row r="15" ht="21" customHeight="1">
      <c r="A15" s="11" t="n"/>
      <c r="B15" s="11" t="n"/>
      <c r="C15" s="11" t="n"/>
      <c r="D15" s="4" t="inlineStr">
        <is>
          <t>48 giờ (Tại biên max)</t>
        </is>
      </c>
      <c r="E15" s="7" t="n"/>
      <c r="F15" s="7" t="n"/>
      <c r="G15" s="7" t="inlineStr">
        <is>
          <t>O</t>
        </is>
      </c>
      <c r="H15" s="7" t="n"/>
      <c r="I15" s="7" t="n"/>
      <c r="J15" s="7" t="n"/>
      <c r="K15" s="7" t="n"/>
      <c r="L15" s="7" t="n"/>
      <c r="M15" s="7" t="n"/>
      <c r="N15" s="7" t="n"/>
      <c r="O15" s="7" t="n"/>
      <c r="P15" s="7" t="n"/>
      <c r="Q15" s="7" t="n"/>
      <c r="R15" s="7" t="n"/>
    </row>
    <row r="16" ht="21" customHeight="1">
      <c r="A16" s="11" t="n"/>
      <c r="B16" s="11" t="n"/>
      <c r="C16" s="11" t="n"/>
      <c r="D16" s="4" t="inlineStr">
        <is>
          <t>49 giờ (Vượt biên max)</t>
        </is>
      </c>
      <c r="E16" s="7" t="n"/>
      <c r="F16" s="7" t="n"/>
      <c r="G16" s="7" t="n"/>
      <c r="H16" s="7" t="inlineStr">
        <is>
          <t>O</t>
        </is>
      </c>
      <c r="I16" s="7" t="n"/>
      <c r="J16" s="7" t="n"/>
      <c r="K16" s="7" t="n"/>
      <c r="L16" s="7" t="n"/>
      <c r="M16" s="7" t="n"/>
      <c r="N16" s="7" t="n"/>
      <c r="O16" s="7" t="n"/>
      <c r="P16" s="7" t="n"/>
      <c r="Q16" s="7" t="n"/>
      <c r="R16" s="7" t="n"/>
    </row>
    <row r="17" ht="21" customHeight="1">
      <c r="A17" s="11" t="n"/>
      <c r="B17" s="11" t="n"/>
      <c r="C17" s="11" t="n"/>
      <c r="D17" s="4" t="inlineStr">
        <is>
          <t>Thời gian hợp lệ khác</t>
        </is>
      </c>
      <c r="E17" s="7" t="n"/>
      <c r="F17" s="7" t="n"/>
      <c r="G17" s="7" t="n"/>
      <c r="H17" s="7" t="n"/>
      <c r="I17" s="7" t="n"/>
      <c r="J17" s="7" t="n"/>
      <c r="K17" s="7" t="n"/>
      <c r="L17" s="7" t="n"/>
      <c r="M17" s="7" t="n"/>
      <c r="N17" s="7" t="n"/>
      <c r="O17" s="7" t="inlineStr">
        <is>
          <t>O</t>
        </is>
      </c>
      <c r="P17" s="7" t="inlineStr">
        <is>
          <t>O</t>
        </is>
      </c>
      <c r="Q17" s="7" t="inlineStr">
        <is>
          <t>O</t>
        </is>
      </c>
      <c r="R17" s="7" t="inlineStr">
        <is>
          <t>O</t>
        </is>
      </c>
    </row>
    <row r="18" ht="22" customHeight="1">
      <c r="A18" s="22" t="n"/>
      <c r="B18" s="23" t="inlineStr">
        <is>
          <t>Số dư ví khách</t>
        </is>
      </c>
      <c r="C18" s="22" t="n"/>
      <c r="D18" s="22" t="n"/>
      <c r="E18" s="22" t="n"/>
      <c r="F18" s="22" t="n"/>
      <c r="G18" s="22" t="n"/>
      <c r="H18" s="22" t="n"/>
      <c r="I18" s="22" t="n"/>
      <c r="J18" s="22" t="n"/>
      <c r="K18" s="22" t="n"/>
      <c r="L18" s="22" t="n"/>
      <c r="M18" s="22" t="n"/>
      <c r="N18" s="22" t="n"/>
      <c r="O18" s="22" t="n"/>
      <c r="P18" s="22" t="n"/>
      <c r="Q18" s="22" t="n"/>
      <c r="R18" s="22" t="n"/>
    </row>
    <row r="19" ht="21" customHeight="1">
      <c r="A19" s="11" t="n"/>
      <c r="B19" s="11" t="n"/>
      <c r="C19" s="11" t="n"/>
      <c r="D19" s="4" t="inlineStr">
        <is>
          <t>Đủ tiền (&gt; chi phí: 50k &gt; 30k)</t>
        </is>
      </c>
      <c r="E19" s="7" t="inlineStr">
        <is>
          <t>O</t>
        </is>
      </c>
      <c r="F19" s="7" t="n"/>
      <c r="G19" s="7" t="inlineStr">
        <is>
          <t>O</t>
        </is>
      </c>
      <c r="H19" s="7" t="n"/>
      <c r="I19" s="7" t="inlineStr">
        <is>
          <t>O</t>
        </is>
      </c>
      <c r="J19" s="7" t="n"/>
      <c r="K19" s="7" t="n"/>
      <c r="L19" s="7" t="n"/>
      <c r="M19" s="7" t="n"/>
      <c r="N19" s="7" t="n"/>
      <c r="O19" s="7" t="inlineStr">
        <is>
          <t>O</t>
        </is>
      </c>
      <c r="P19" s="7" t="inlineStr">
        <is>
          <t>O</t>
        </is>
      </c>
      <c r="Q19" s="7" t="inlineStr">
        <is>
          <t>O</t>
        </is>
      </c>
      <c r="R19" s="7" t="inlineStr">
        <is>
          <t>O</t>
        </is>
      </c>
    </row>
    <row r="20" ht="21" customHeight="1">
      <c r="A20" s="11" t="n"/>
      <c r="B20" s="11" t="n"/>
      <c r="C20" s="11" t="n"/>
      <c r="D20" s="4" t="inlineStr">
        <is>
          <t>Vừa đủ tiền (== chi phí: 30k == 30k)</t>
        </is>
      </c>
      <c r="E20" s="7" t="n"/>
      <c r="F20" s="7" t="n"/>
      <c r="G20" s="7" t="n"/>
      <c r="H20" s="7" t="n"/>
      <c r="I20" s="7" t="n"/>
      <c r="J20" s="7" t="inlineStr">
        <is>
          <t>O</t>
        </is>
      </c>
      <c r="K20" s="7" t="n"/>
      <c r="L20" s="7" t="n"/>
      <c r="M20" s="7" t="n"/>
      <c r="N20" s="7" t="n"/>
      <c r="O20" s="7" t="n"/>
      <c r="P20" s="7" t="n"/>
      <c r="Q20" s="7" t="n"/>
      <c r="R20" s="7" t="n"/>
    </row>
    <row r="21" ht="21" customHeight="1">
      <c r="A21" s="11" t="n"/>
      <c r="B21" s="11" t="n"/>
      <c r="C21" s="11" t="n"/>
      <c r="D21" s="4" t="inlineStr">
        <is>
          <t>Thiếu tiền (&lt; chi phí: 20k &lt; 30k)</t>
        </is>
      </c>
      <c r="E21" s="7" t="n"/>
      <c r="F21" s="7" t="n"/>
      <c r="G21" s="7" t="n"/>
      <c r="H21" s="7" t="n"/>
      <c r="I21" s="7" t="n"/>
      <c r="J21" s="7" t="n"/>
      <c r="K21" s="7" t="inlineStr">
        <is>
          <t>O</t>
        </is>
      </c>
      <c r="L21" s="7" t="n"/>
      <c r="M21" s="7" t="n"/>
      <c r="N21" s="7" t="n"/>
      <c r="O21" s="7" t="n"/>
      <c r="P21" s="7" t="n"/>
      <c r="Q21" s="7" t="n"/>
      <c r="R21" s="7" t="n"/>
    </row>
    <row r="22" ht="21" customHeight="1">
      <c r="A22" s="11" t="n"/>
      <c r="B22" s="11" t="n"/>
      <c r="C22" s="11" t="n"/>
      <c r="D22" s="4" t="inlineStr">
        <is>
          <t>Hết tiền (0 VNĐ)</t>
        </is>
      </c>
      <c r="E22" s="7" t="n"/>
      <c r="F22" s="7" t="n"/>
      <c r="G22" s="7" t="n"/>
      <c r="H22" s="7" t="n"/>
      <c r="I22" s="7" t="n"/>
      <c r="J22" s="7" t="n"/>
      <c r="K22" s="7" t="n"/>
      <c r="L22" s="7" t="inlineStr">
        <is>
          <t>O</t>
        </is>
      </c>
      <c r="M22" s="7" t="n"/>
      <c r="N22" s="7" t="n"/>
      <c r="O22" s="7" t="n"/>
      <c r="P22" s="7" t="n"/>
      <c r="Q22" s="7" t="n"/>
      <c r="R22" s="7" t="n"/>
    </row>
    <row r="23" ht="22" customHeight="1">
      <c r="A23" s="22" t="n"/>
      <c r="B23" s="23" t="inlineStr">
        <is>
          <t>Trạng thái tài khoản</t>
        </is>
      </c>
      <c r="C23" s="22" t="n"/>
      <c r="D23" s="22" t="n"/>
      <c r="E23" s="22" t="n"/>
      <c r="F23" s="22" t="n"/>
      <c r="G23" s="22" t="n"/>
      <c r="H23" s="22" t="n"/>
      <c r="I23" s="22" t="n"/>
      <c r="J23" s="22" t="n"/>
      <c r="K23" s="22" t="n"/>
      <c r="L23" s="22" t="n"/>
      <c r="M23" s="22" t="n"/>
      <c r="N23" s="22" t="n"/>
      <c r="O23" s="22" t="n"/>
      <c r="P23" s="22" t="n"/>
      <c r="Q23" s="22" t="n"/>
      <c r="R23" s="22" t="n"/>
    </row>
    <row r="24" ht="21" customHeight="1">
      <c r="A24" s="11" t="n"/>
      <c r="B24" s="11" t="n"/>
      <c r="C24" s="11" t="n"/>
      <c r="D24" s="4" t="inlineStr">
        <is>
          <t>available (Sẵn sàng)</t>
        </is>
      </c>
      <c r="E24" s="7" t="inlineStr">
        <is>
          <t>O</t>
        </is>
      </c>
      <c r="F24" s="7" t="inlineStr">
        <is>
          <t>O</t>
        </is>
      </c>
      <c r="G24" s="7" t="inlineStr">
        <is>
          <t>O</t>
        </is>
      </c>
      <c r="H24" s="7" t="inlineStr">
        <is>
          <t>O</t>
        </is>
      </c>
      <c r="I24" s="7" t="inlineStr">
        <is>
          <t>O</t>
        </is>
      </c>
      <c r="J24" s="7" t="inlineStr">
        <is>
          <t>O</t>
        </is>
      </c>
      <c r="K24" s="7" t="inlineStr">
        <is>
          <t>O</t>
        </is>
      </c>
      <c r="L24" s="7" t="inlineStr">
        <is>
          <t>O</t>
        </is>
      </c>
      <c r="M24" s="7" t="n"/>
      <c r="N24" s="7" t="n"/>
      <c r="O24" s="7" t="inlineStr">
        <is>
          <t>O</t>
        </is>
      </c>
      <c r="P24" s="7" t="inlineStr">
        <is>
          <t>O</t>
        </is>
      </c>
      <c r="Q24" s="7" t="inlineStr">
        <is>
          <t>O</t>
        </is>
      </c>
      <c r="R24" s="7" t="inlineStr">
        <is>
          <t>O</t>
        </is>
      </c>
    </row>
    <row r="25" ht="21" customHeight="1">
      <c r="A25" s="11" t="n"/>
      <c r="B25" s="11" t="n"/>
      <c r="C25" s="11" t="n"/>
      <c r="D25" s="4" t="inlineStr">
        <is>
          <t>rented (Đang có người thuê)</t>
        </is>
      </c>
      <c r="E25" s="7" t="n"/>
      <c r="F25" s="7" t="n"/>
      <c r="G25" s="7" t="n"/>
      <c r="H25" s="7" t="n"/>
      <c r="I25" s="7" t="n"/>
      <c r="J25" s="7" t="n"/>
      <c r="K25" s="7" t="n"/>
      <c r="L25" s="7" t="n"/>
      <c r="M25" s="7" t="inlineStr">
        <is>
          <t>O</t>
        </is>
      </c>
      <c r="N25" s="7" t="n"/>
      <c r="O25" s="7" t="n"/>
      <c r="P25" s="7" t="n"/>
      <c r="Q25" s="7" t="n"/>
      <c r="R25" s="7" t="n"/>
    </row>
    <row r="26" ht="21" customHeight="1">
      <c r="A26" s="11" t="n"/>
      <c r="B26" s="11" t="n"/>
      <c r="C26" s="11" t="n"/>
      <c r="D26" s="4" t="inlineStr">
        <is>
          <t>maintenance (Đang bảo trì)</t>
        </is>
      </c>
      <c r="E26" s="7" t="n"/>
      <c r="F26" s="7" t="n"/>
      <c r="G26" s="7" t="n"/>
      <c r="H26" s="7" t="n"/>
      <c r="I26" s="7" t="n"/>
      <c r="J26" s="7" t="n"/>
      <c r="K26" s="7" t="n"/>
      <c r="L26" s="7" t="n"/>
      <c r="M26" s="7" t="n"/>
      <c r="N26" s="7" t="inlineStr">
        <is>
          <t>O</t>
        </is>
      </c>
      <c r="O26" s="7" t="n"/>
      <c r="P26" s="7" t="n"/>
      <c r="Q26" s="7" t="n"/>
      <c r="R26" s="7" t="n"/>
    </row>
    <row r="28" ht="24" customHeight="1">
      <c r="A28" s="6" t="inlineStr">
        <is>
          <t>Confirm</t>
        </is>
      </c>
      <c r="B28" s="6" t="inlineStr">
        <is>
          <t>Return / Exception</t>
        </is>
      </c>
      <c r="C28" s="6" t="n"/>
      <c r="D28" s="6" t="n"/>
      <c r="E28" s="6" t="n"/>
      <c r="F28" s="6" t="n"/>
      <c r="G28" s="6" t="n"/>
      <c r="H28" s="6" t="n"/>
      <c r="I28" s="6" t="n"/>
      <c r="J28" s="6" t="n"/>
      <c r="K28" s="6" t="n"/>
      <c r="L28" s="6" t="n"/>
      <c r="M28" s="6" t="n"/>
      <c r="N28" s="6" t="n"/>
      <c r="O28" s="6" t="n"/>
      <c r="P28" s="6" t="n"/>
      <c r="Q28" s="6" t="n"/>
      <c r="R28" s="6" t="n"/>
    </row>
    <row r="29" ht="21" customHeight="1">
      <c r="A29" s="11" t="n"/>
      <c r="B29" s="11" t="n"/>
      <c r="C29" s="11" t="n"/>
      <c r="D29" s="4" t="inlineStr">
        <is>
          <t>canRent = true, tính đúng totalCost</t>
        </is>
      </c>
      <c r="E29" s="7" t="inlineStr">
        <is>
          <t>O</t>
        </is>
      </c>
      <c r="F29" s="7" t="n"/>
      <c r="G29" s="7" t="inlineStr">
        <is>
          <t>O</t>
        </is>
      </c>
      <c r="H29" s="7" t="n"/>
      <c r="I29" s="7" t="inlineStr">
        <is>
          <t>O</t>
        </is>
      </c>
      <c r="J29" s="7" t="inlineStr">
        <is>
          <t>O</t>
        </is>
      </c>
      <c r="K29" s="7" t="n"/>
      <c r="L29" s="7" t="n"/>
      <c r="M29" s="7" t="n"/>
      <c r="N29" s="7" t="n"/>
      <c r="O29" s="7" t="n"/>
      <c r="P29" s="7" t="n"/>
      <c r="Q29" s="7" t="n"/>
      <c r="R29" s="7" t="n"/>
    </row>
    <row r="30" ht="21" customHeight="1">
      <c r="A30" s="11" t="n"/>
      <c r="B30" s="11" t="n"/>
      <c r="C30" s="11" t="n"/>
      <c r="D30" s="4" t="inlineStr">
        <is>
          <t>error = 'Thời gian thuê tối thiểu là 1 giờ'</t>
        </is>
      </c>
      <c r="E30" s="7" t="n"/>
      <c r="F30" s="7" t="inlineStr">
        <is>
          <t>O</t>
        </is>
      </c>
      <c r="G30" s="7" t="n"/>
      <c r="H30" s="7" t="n"/>
      <c r="I30" s="7" t="n"/>
      <c r="J30" s="7" t="n"/>
      <c r="K30" s="7" t="n"/>
      <c r="L30" s="7" t="n"/>
      <c r="M30" s="7" t="n"/>
      <c r="N30" s="7" t="n"/>
      <c r="O30" s="7" t="n"/>
      <c r="P30" s="7" t="n"/>
      <c r="Q30" s="7" t="n"/>
      <c r="R30" s="7" t="n"/>
    </row>
    <row r="31" ht="21" customHeight="1">
      <c r="A31" s="11" t="n"/>
      <c r="B31" s="11" t="n"/>
      <c r="C31" s="11" t="n"/>
      <c r="D31" s="4" t="inlineStr">
        <is>
          <t>error = 'Thời gian thuê tối đa là 48 giờ'</t>
        </is>
      </c>
      <c r="E31" s="7" t="n"/>
      <c r="F31" s="7" t="n"/>
      <c r="G31" s="7" t="n"/>
      <c r="H31" s="7" t="inlineStr">
        <is>
          <t>O</t>
        </is>
      </c>
      <c r="I31" s="7" t="n"/>
      <c r="J31" s="7" t="n"/>
      <c r="K31" s="7" t="n"/>
      <c r="L31" s="7" t="n"/>
      <c r="M31" s="7" t="n"/>
      <c r="N31" s="7" t="n"/>
      <c r="O31" s="7" t="n"/>
      <c r="P31" s="7" t="n"/>
      <c r="Q31" s="7" t="n"/>
      <c r="R31" s="7" t="n"/>
    </row>
    <row r="32" ht="21" customHeight="1">
      <c r="A32" s="11" t="n"/>
      <c r="B32" s="11" t="n"/>
      <c r="C32" s="11" t="n"/>
      <c r="D32" s="4" t="inlineStr">
        <is>
          <t>canRent = false, báo thiếu 10.000 đ</t>
        </is>
      </c>
      <c r="E32" s="7" t="n"/>
      <c r="F32" s="7" t="n"/>
      <c r="G32" s="7" t="n"/>
      <c r="H32" s="7" t="n"/>
      <c r="I32" s="7" t="n"/>
      <c r="J32" s="7" t="n"/>
      <c r="K32" s="7" t="inlineStr">
        <is>
          <t>O</t>
        </is>
      </c>
      <c r="L32" s="7" t="n"/>
      <c r="M32" s="7" t="n"/>
      <c r="N32" s="7" t="n"/>
      <c r="O32" s="7" t="n"/>
      <c r="P32" s="7" t="n"/>
      <c r="Q32" s="7" t="n"/>
      <c r="R32" s="7" t="n"/>
    </row>
    <row r="33" ht="21" customHeight="1">
      <c r="A33" s="11" t="n"/>
      <c r="B33" s="11" t="n"/>
      <c r="C33" s="11" t="n"/>
      <c r="D33" s="4" t="inlineStr">
        <is>
          <t>canRent = false, báo thiếu 30.000 đ</t>
        </is>
      </c>
      <c r="E33" s="7" t="n"/>
      <c r="F33" s="7" t="n"/>
      <c r="G33" s="7" t="n"/>
      <c r="H33" s="7" t="n"/>
      <c r="I33" s="7" t="n"/>
      <c r="J33" s="7" t="n"/>
      <c r="K33" s="7" t="n"/>
      <c r="L33" s="7" t="inlineStr">
        <is>
          <t>O</t>
        </is>
      </c>
      <c r="M33" s="7" t="n"/>
      <c r="N33" s="7" t="n"/>
      <c r="O33" s="7" t="n"/>
      <c r="P33" s="7" t="n"/>
      <c r="Q33" s="7" t="n"/>
      <c r="R33" s="7" t="n"/>
    </row>
    <row r="34" ht="21" customHeight="1">
      <c r="A34" s="11" t="n"/>
      <c r="B34" s="11" t="n"/>
      <c r="C34" s="11" t="n"/>
      <c r="D34" s="4" t="inlineStr">
        <is>
          <t>error = 'Tài khoản này hiện đang có người thuê'</t>
        </is>
      </c>
      <c r="E34" s="7" t="n"/>
      <c r="F34" s="7" t="n"/>
      <c r="G34" s="7" t="n"/>
      <c r="H34" s="7" t="n"/>
      <c r="I34" s="7" t="n"/>
      <c r="J34" s="7" t="n"/>
      <c r="K34" s="7" t="n"/>
      <c r="L34" s="7" t="n"/>
      <c r="M34" s="7" t="inlineStr">
        <is>
          <t>O</t>
        </is>
      </c>
      <c r="N34" s="7" t="n"/>
      <c r="O34" s="7" t="n"/>
      <c r="P34" s="7" t="n"/>
      <c r="Q34" s="7" t="n"/>
      <c r="R34" s="7" t="n"/>
    </row>
    <row r="35" ht="21" customHeight="1">
      <c r="A35" s="11" t="n"/>
      <c r="B35" s="11" t="n"/>
      <c r="C35" s="11" t="n"/>
      <c r="D35" s="4" t="inlineStr">
        <is>
          <t>error = 'Tài khoản đang trong quá trình bảo trì / đổi mật khẩu'</t>
        </is>
      </c>
      <c r="E35" s="7" t="n"/>
      <c r="F35" s="7" t="n"/>
      <c r="G35" s="7" t="n"/>
      <c r="H35" s="7" t="n"/>
      <c r="I35" s="7" t="n"/>
      <c r="J35" s="7" t="n"/>
      <c r="K35" s="7" t="n"/>
      <c r="L35" s="7" t="n"/>
      <c r="M35" s="7" t="n"/>
      <c r="N35" s="7" t="inlineStr">
        <is>
          <t>O</t>
        </is>
      </c>
      <c r="O35" s="7" t="n"/>
      <c r="P35" s="7" t="n"/>
      <c r="Q35" s="7" t="n"/>
      <c r="R35" s="7" t="n"/>
    </row>
    <row r="36" ht="21" customHeight="1">
      <c r="A36" s="11" t="n"/>
      <c r="B36" s="11" t="n"/>
      <c r="C36" s="11" t="n"/>
      <c r="D36" s="4" t="inlineStr">
        <is>
          <t>Lọc chính xác theo tựa game (LQ, Val, Genshin)</t>
        </is>
      </c>
      <c r="E36" s="7" t="n"/>
      <c r="F36" s="7" t="n"/>
      <c r="G36" s="7" t="n"/>
      <c r="H36" s="7" t="n"/>
      <c r="I36" s="7" t="n"/>
      <c r="J36" s="7" t="n"/>
      <c r="K36" s="7" t="n"/>
      <c r="L36" s="7" t="n"/>
      <c r="M36" s="7" t="n"/>
      <c r="N36" s="7" t="n"/>
      <c r="O36" s="7" t="inlineStr">
        <is>
          <t>O</t>
        </is>
      </c>
      <c r="P36" s="7" t="n"/>
      <c r="Q36" s="7" t="n"/>
      <c r="R36" s="7" t="n"/>
    </row>
    <row r="37" ht="21" customHeight="1">
      <c r="A37" s="11" t="n"/>
      <c r="B37" s="11" t="n"/>
      <c r="C37" s="11" t="n"/>
      <c r="D37" s="4" t="inlineStr">
        <is>
          <t>Tìm kiếm chính xác theo mã đơn, mã acc</t>
        </is>
      </c>
      <c r="E37" s="7" t="n"/>
      <c r="F37" s="7" t="n"/>
      <c r="G37" s="7" t="n"/>
      <c r="H37" s="7" t="n"/>
      <c r="I37" s="7" t="n"/>
      <c r="J37" s="7" t="n"/>
      <c r="K37" s="7" t="n"/>
      <c r="L37" s="7" t="n"/>
      <c r="M37" s="7" t="n"/>
      <c r="N37" s="7" t="n"/>
      <c r="O37" s="7" t="n"/>
      <c r="P37" s="7" t="inlineStr">
        <is>
          <t>O</t>
        </is>
      </c>
      <c r="Q37" s="7" t="n"/>
      <c r="R37" s="7" t="n"/>
    </row>
    <row r="38" ht="21" customHeight="1">
      <c r="A38" s="11" t="n"/>
      <c r="B38" s="11" t="n"/>
      <c r="C38" s="11" t="n"/>
      <c r="D38" s="4" t="inlineStr">
        <is>
          <t>Tìm kiếm linh hoạt theo tên khách (có/không dấu)</t>
        </is>
      </c>
      <c r="E38" s="7" t="n"/>
      <c r="F38" s="7" t="n"/>
      <c r="G38" s="7" t="n"/>
      <c r="H38" s="7" t="n"/>
      <c r="I38" s="7" t="n"/>
      <c r="J38" s="7" t="n"/>
      <c r="K38" s="7" t="n"/>
      <c r="L38" s="7" t="n"/>
      <c r="M38" s="7" t="n"/>
      <c r="N38" s="7" t="n"/>
      <c r="O38" s="7" t="n"/>
      <c r="P38" s="7" t="n"/>
      <c r="Q38" s="7" t="inlineStr">
        <is>
          <t>O</t>
        </is>
      </c>
      <c r="R38" s="7" t="n"/>
    </row>
    <row r="39" ht="21" customHeight="1">
      <c r="A39" s="11" t="n"/>
      <c r="B39" s="11" t="n"/>
      <c r="C39" s="11" t="n"/>
      <c r="D39" s="4" t="inlineStr">
        <is>
          <t>Tìm kiếm chính xác theo tên tựa game</t>
        </is>
      </c>
      <c r="E39" s="7" t="n"/>
      <c r="F39" s="7" t="n"/>
      <c r="G39" s="7" t="n"/>
      <c r="H39" s="7" t="n"/>
      <c r="I39" s="7" t="n"/>
      <c r="J39" s="7" t="n"/>
      <c r="K39" s="7" t="n"/>
      <c r="L39" s="7" t="n"/>
      <c r="M39" s="7" t="n"/>
      <c r="N39" s="7" t="n"/>
      <c r="O39" s="7" t="n"/>
      <c r="P39" s="7" t="n"/>
      <c r="Q39" s="7" t="n"/>
      <c r="R39" s="7" t="inlineStr">
        <is>
          <t>O</t>
        </is>
      </c>
    </row>
    <row r="41" ht="23" customHeight="1">
      <c r="A41" s="6" t="inlineStr">
        <is>
          <t>Result</t>
        </is>
      </c>
      <c r="B41" s="6" t="inlineStr">
        <is>
          <t>Type(N : Normal, A : Abnormal, B : Boundary)</t>
        </is>
      </c>
      <c r="C41" s="6" t="n"/>
      <c r="D41" s="6" t="n"/>
      <c r="E41" s="6" t="inlineStr">
        <is>
          <t>B</t>
        </is>
      </c>
      <c r="F41" s="6" t="inlineStr">
        <is>
          <t>B</t>
        </is>
      </c>
      <c r="G41" s="6" t="inlineStr">
        <is>
          <t>B</t>
        </is>
      </c>
      <c r="H41" s="6" t="inlineStr">
        <is>
          <t>B</t>
        </is>
      </c>
      <c r="I41" s="6" t="inlineStr">
        <is>
          <t>N</t>
        </is>
      </c>
      <c r="J41" s="6" t="inlineStr">
        <is>
          <t>N</t>
        </is>
      </c>
      <c r="K41" s="6" t="inlineStr">
        <is>
          <t>A</t>
        </is>
      </c>
      <c r="L41" s="6" t="inlineStr">
        <is>
          <t>A</t>
        </is>
      </c>
      <c r="M41" s="6" t="inlineStr">
        <is>
          <t>A</t>
        </is>
      </c>
      <c r="N41" s="6" t="inlineStr">
        <is>
          <t>A</t>
        </is>
      </c>
      <c r="O41" s="6" t="inlineStr">
        <is>
          <t>N</t>
        </is>
      </c>
      <c r="P41" s="6" t="inlineStr">
        <is>
          <t>N</t>
        </is>
      </c>
      <c r="Q41" s="6" t="inlineStr">
        <is>
          <t>N</t>
        </is>
      </c>
      <c r="R41" s="6" t="inlineStr">
        <is>
          <t>N</t>
        </is>
      </c>
    </row>
    <row r="42" ht="23" customHeight="1">
      <c r="A42" s="11" t="n"/>
      <c r="B42" s="24" t="inlineStr">
        <is>
          <t>Passed/Failed</t>
        </is>
      </c>
      <c r="C42" s="11" t="n"/>
      <c r="D42" s="11" t="n"/>
      <c r="E42" s="25" t="inlineStr">
        <is>
          <t>P</t>
        </is>
      </c>
      <c r="F42" s="25" t="inlineStr">
        <is>
          <t>P</t>
        </is>
      </c>
      <c r="G42" s="25" t="inlineStr">
        <is>
          <t>P</t>
        </is>
      </c>
      <c r="H42" s="25" t="inlineStr">
        <is>
          <t>P</t>
        </is>
      </c>
      <c r="I42" s="25" t="inlineStr">
        <is>
          <t>P</t>
        </is>
      </c>
      <c r="J42" s="25" t="inlineStr">
        <is>
          <t>P</t>
        </is>
      </c>
      <c r="K42" s="25" t="inlineStr">
        <is>
          <t>P</t>
        </is>
      </c>
      <c r="L42" s="25" t="inlineStr">
        <is>
          <t>P</t>
        </is>
      </c>
      <c r="M42" s="25" t="inlineStr">
        <is>
          <t>P</t>
        </is>
      </c>
      <c r="N42" s="25" t="inlineStr">
        <is>
          <t>P</t>
        </is>
      </c>
      <c r="O42" s="25" t="inlineStr">
        <is>
          <t>P</t>
        </is>
      </c>
      <c r="P42" s="25" t="inlineStr">
        <is>
          <t>P</t>
        </is>
      </c>
      <c r="Q42" s="25" t="inlineStr">
        <is>
          <t>P</t>
        </is>
      </c>
      <c r="R42" s="25" t="inlineStr">
        <is>
          <t>P</t>
        </is>
      </c>
    </row>
    <row r="43" ht="21" customHeight="1">
      <c r="A43" s="11" t="n"/>
      <c r="B43" s="14" t="inlineStr">
        <is>
          <t>Executed Date</t>
        </is>
      </c>
      <c r="C43" s="11" t="n"/>
      <c r="D43" s="11" t="n"/>
      <c r="E43" s="26" t="inlineStr">
        <is>
          <t>26/09/2026</t>
        </is>
      </c>
      <c r="F43" s="26" t="inlineStr">
        <is>
          <t>26/09/2026</t>
        </is>
      </c>
      <c r="G43" s="26" t="inlineStr">
        <is>
          <t>26/09/2026</t>
        </is>
      </c>
      <c r="H43" s="26" t="inlineStr">
        <is>
          <t>26/09/2026</t>
        </is>
      </c>
      <c r="I43" s="26" t="inlineStr">
        <is>
          <t>26/09/2026</t>
        </is>
      </c>
      <c r="J43" s="26" t="inlineStr">
        <is>
          <t>26/09/2026</t>
        </is>
      </c>
      <c r="K43" s="26" t="inlineStr">
        <is>
          <t>26/09/2026</t>
        </is>
      </c>
      <c r="L43" s="26" t="inlineStr">
        <is>
          <t>26/09/2026</t>
        </is>
      </c>
      <c r="M43" s="26" t="inlineStr">
        <is>
          <t>26/09/2026</t>
        </is>
      </c>
      <c r="N43" s="26" t="inlineStr">
        <is>
          <t>26/09/2026</t>
        </is>
      </c>
      <c r="O43" s="26" t="inlineStr">
        <is>
          <t>26/09/2026</t>
        </is>
      </c>
      <c r="P43" s="26" t="inlineStr">
        <is>
          <t>26/09/2026</t>
        </is>
      </c>
      <c r="Q43" s="26" t="inlineStr">
        <is>
          <t>26/09/2026</t>
        </is>
      </c>
      <c r="R43" s="26" t="inlineStr">
        <is>
          <t>26/09/2026</t>
        </is>
      </c>
    </row>
    <row r="44" ht="21" customHeight="1">
      <c r="A44" s="11" t="n"/>
      <c r="B44" s="14" t="inlineStr">
        <is>
          <t>Defect ID</t>
        </is>
      </c>
      <c r="C44" s="11" t="n"/>
      <c r="D44" s="11" t="n"/>
      <c r="E44" s="27" t="inlineStr"/>
      <c r="F44" s="27" t="inlineStr"/>
      <c r="G44" s="27" t="inlineStr"/>
      <c r="H44" s="27" t="inlineStr"/>
      <c r="I44" s="27" t="inlineStr"/>
      <c r="J44" s="27" t="inlineStr"/>
      <c r="K44" s="27" t="inlineStr"/>
      <c r="L44" s="27" t="inlineStr"/>
      <c r="M44" s="27" t="inlineStr"/>
      <c r="N44" s="27" t="inlineStr"/>
      <c r="O44" s="27" t="inlineStr"/>
      <c r="P44" s="27" t="inlineStr"/>
      <c r="Q44" s="27" t="inlineStr"/>
      <c r="R44" s="27"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2:S50"/>
  <sheetViews>
    <sheetView workbookViewId="0">
      <selection activeCell="A1" sqref="A1"/>
    </sheetView>
  </sheetViews>
  <sheetFormatPr baseColWidth="8" defaultRowHeight="15"/>
  <cols>
    <col width="12" customWidth="1" min="1" max="1"/>
    <col width="24" customWidth="1" min="2" max="2"/>
    <col width="12" customWidth="1" min="3" max="3"/>
    <col width="48"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s>
  <sheetData>
    <row r="2" ht="22" customHeight="1">
      <c r="A2" s="5" t="inlineStr">
        <is>
          <t>Function Code</t>
        </is>
      </c>
      <c r="C2" s="19" t="inlineStr">
        <is>
          <t>F_ADM_PROD</t>
        </is>
      </c>
      <c r="E2" s="5" t="inlineStr">
        <is>
          <t>Function Name</t>
        </is>
      </c>
      <c r="G2" s="18" t="inlineStr">
        <is>
          <t>validateProductUC1</t>
        </is>
      </c>
    </row>
    <row r="3" ht="22" customHeight="1">
      <c r="A3" s="5" t="inlineStr">
        <is>
          <t>Created By</t>
        </is>
      </c>
      <c r="C3" s="18" t="inlineStr">
        <is>
          <t>Nhóm 15</t>
        </is>
      </c>
      <c r="E3" s="5" t="inlineStr">
        <is>
          <t>Executed By</t>
        </is>
      </c>
      <c r="G3" s="18" t="inlineStr">
        <is>
          <t>Nhóm 15 (Automation)</t>
        </is>
      </c>
    </row>
    <row r="4" ht="22" customHeight="1">
      <c r="A4" s="5" t="inlineStr">
        <is>
          <t>Lines of code</t>
        </is>
      </c>
      <c r="C4" s="18" t="n">
        <v>58</v>
      </c>
    </row>
    <row r="5" ht="22" customHeight="1">
      <c r="A5" s="5" t="inlineStr">
        <is>
          <t>Test requirement</t>
        </is>
      </c>
      <c r="C5" s="18" t="inlineStr">
        <is>
          <t>Kiểm tra form Thêm tài khoản game chuẩn 100% tài liệu đặc tả đề bài UC1_Add New Product (BR1-BR6)</t>
        </is>
      </c>
    </row>
    <row r="6" ht="22" customHeight="1">
      <c r="A6" s="6" t="inlineStr">
        <is>
          <t>Passed</t>
        </is>
      </c>
      <c r="C6" s="6" t="inlineStr">
        <is>
          <t>Failed</t>
        </is>
      </c>
      <c r="E6" s="6" t="inlineStr">
        <is>
          <t>Untested</t>
        </is>
      </c>
      <c r="K6" s="6" t="inlineStr">
        <is>
          <t>N</t>
        </is>
      </c>
      <c r="L6" s="6" t="inlineStr">
        <is>
          <t>A</t>
        </is>
      </c>
      <c r="M6" s="6" t="inlineStr">
        <is>
          <t>B</t>
        </is>
      </c>
      <c r="N6" s="6" t="inlineStr">
        <is>
          <t>Total Test Cases</t>
        </is>
      </c>
    </row>
    <row r="7" ht="24" customHeight="1">
      <c r="A7" s="20">
        <f>COUNTIF(E48:S48,"P")</f>
        <v/>
      </c>
      <c r="C7" s="20">
        <f>COUNTIF(E48:S48,"F")</f>
        <v/>
      </c>
      <c r="E7" s="20">
        <f>SUM(N7,-A7,-C7)</f>
        <v/>
      </c>
      <c r="K7" s="20">
        <f>COUNTIF(E47:S47,"N")</f>
        <v/>
      </c>
      <c r="L7" s="20">
        <f>COUNTIF(E47:S47,"A")</f>
        <v/>
      </c>
      <c r="M7" s="20">
        <f>COUNTIF(E47:S47,"B")</f>
        <v/>
      </c>
      <c r="N7" s="20">
        <f>COUNTA(E9:S9)</f>
        <v/>
      </c>
    </row>
    <row r="9" ht="24" customHeight="1">
      <c r="E9" s="6" t="inlineStr">
        <is>
          <t>UTCID01</t>
        </is>
      </c>
      <c r="F9" s="6" t="inlineStr">
        <is>
          <t>UTCID02</t>
        </is>
      </c>
      <c r="G9" s="6" t="inlineStr">
        <is>
          <t>UTCID03</t>
        </is>
      </c>
      <c r="H9" s="6" t="inlineStr">
        <is>
          <t>UTCID04</t>
        </is>
      </c>
      <c r="I9" s="6" t="inlineStr">
        <is>
          <t>UTCID05</t>
        </is>
      </c>
      <c r="J9" s="6" t="inlineStr">
        <is>
          <t>UTCID06</t>
        </is>
      </c>
      <c r="K9" s="6" t="inlineStr">
        <is>
          <t>UTCID07</t>
        </is>
      </c>
      <c r="L9" s="6" t="inlineStr">
        <is>
          <t>UTCID08</t>
        </is>
      </c>
      <c r="M9" s="6" t="inlineStr">
        <is>
          <t>UTCID09</t>
        </is>
      </c>
      <c r="N9" s="6" t="inlineStr">
        <is>
          <t>UTCID10</t>
        </is>
      </c>
      <c r="O9" s="6" t="inlineStr">
        <is>
          <t>UTCID11</t>
        </is>
      </c>
      <c r="P9" s="6" t="inlineStr">
        <is>
          <t>UTCID12</t>
        </is>
      </c>
      <c r="Q9" s="6" t="inlineStr">
        <is>
          <t>UTCID13</t>
        </is>
      </c>
      <c r="R9" s="6" t="inlineStr">
        <is>
          <t>UTCID14</t>
        </is>
      </c>
      <c r="S9" s="6" t="inlineStr">
        <is>
          <t>UTCID15</t>
        </is>
      </c>
    </row>
    <row r="10" ht="22" customHeight="1">
      <c r="A10" s="6" t="inlineStr">
        <is>
          <t>Condition</t>
        </is>
      </c>
      <c r="B10" s="6" t="inlineStr">
        <is>
          <t>Precondition</t>
        </is>
      </c>
      <c r="D10" s="6" t="inlineStr">
        <is>
          <t>N/A</t>
        </is>
      </c>
      <c r="E10" s="21" t="n"/>
      <c r="F10" s="21" t="n"/>
      <c r="G10" s="21" t="n"/>
      <c r="H10" s="21" t="n"/>
      <c r="I10" s="21" t="n"/>
      <c r="J10" s="21" t="n"/>
      <c r="K10" s="21" t="n"/>
      <c r="L10" s="21" t="n"/>
      <c r="M10" s="21" t="n"/>
      <c r="N10" s="21" t="n"/>
      <c r="O10" s="21" t="n"/>
      <c r="P10" s="21" t="n"/>
      <c r="Q10" s="21" t="n"/>
      <c r="R10" s="21" t="n"/>
      <c r="S10" s="21" t="n"/>
    </row>
    <row r="12" ht="22" customHeight="1">
      <c r="A12" s="22" t="n"/>
      <c r="B12" s="23" t="inlineStr">
        <is>
          <t>Mã sản phẩm</t>
        </is>
      </c>
      <c r="C12" s="22" t="n"/>
      <c r="D12" s="22" t="n"/>
      <c r="E12" s="22" t="n"/>
      <c r="F12" s="22" t="n"/>
      <c r="G12" s="22" t="n"/>
      <c r="H12" s="22" t="n"/>
      <c r="I12" s="22" t="n"/>
      <c r="J12" s="22" t="n"/>
      <c r="K12" s="22" t="n"/>
      <c r="L12" s="22" t="n"/>
      <c r="M12" s="22" t="n"/>
      <c r="N12" s="22" t="n"/>
      <c r="O12" s="22" t="n"/>
      <c r="P12" s="22" t="n"/>
      <c r="Q12" s="22" t="n"/>
      <c r="R12" s="22" t="n"/>
      <c r="S12" s="22" t="n"/>
    </row>
    <row r="13" ht="21" customHeight="1">
      <c r="A13" s="11" t="n"/>
      <c r="B13" s="11" t="n"/>
      <c r="C13" s="11" t="n"/>
      <c r="D13" s="4" t="inlineStr">
        <is>
          <t>7 ký tự (Dưới biên min 8)</t>
        </is>
      </c>
      <c r="E13" s="7" t="inlineStr">
        <is>
          <t>O</t>
        </is>
      </c>
      <c r="F13" s="7" t="n"/>
      <c r="G13" s="7" t="n"/>
      <c r="H13" s="7" t="n"/>
      <c r="I13" s="7" t="n"/>
      <c r="J13" s="7" t="n"/>
      <c r="K13" s="7" t="n"/>
      <c r="L13" s="7" t="n"/>
      <c r="M13" s="7" t="n"/>
      <c r="N13" s="7" t="n"/>
      <c r="O13" s="7" t="n"/>
      <c r="P13" s="7" t="n"/>
      <c r="Q13" s="7" t="n"/>
      <c r="R13" s="7" t="n"/>
      <c r="S13" s="7" t="n"/>
    </row>
    <row r="14" ht="21" customHeight="1">
      <c r="A14" s="11" t="n"/>
      <c r="B14" s="11" t="n"/>
      <c r="C14" s="11" t="n"/>
      <c r="D14" s="4" t="inlineStr">
        <is>
          <t>8 ký tự (Biên min hợp lệ)</t>
        </is>
      </c>
      <c r="E14" s="7" t="n"/>
      <c r="F14" s="7" t="inlineStr">
        <is>
          <t>O</t>
        </is>
      </c>
      <c r="G14" s="7" t="n"/>
      <c r="H14" s="7" t="n"/>
      <c r="I14" s="7" t="n"/>
      <c r="J14" s="7" t="n"/>
      <c r="K14" s="7" t="n"/>
      <c r="L14" s="7" t="n"/>
      <c r="M14" s="7" t="n"/>
      <c r="N14" s="7" t="n"/>
      <c r="O14" s="7" t="n"/>
      <c r="P14" s="7" t="n"/>
      <c r="Q14" s="7" t="n"/>
      <c r="R14" s="7" t="n"/>
      <c r="S14" s="7" t="n"/>
    </row>
    <row r="15" ht="21" customHeight="1">
      <c r="A15" s="11" t="n"/>
      <c r="B15" s="11" t="n"/>
      <c r="C15" s="11" t="n"/>
      <c r="D15" s="4" t="inlineStr">
        <is>
          <t>30 ký tự (Biên max hợp lệ)</t>
        </is>
      </c>
      <c r="E15" s="7" t="n"/>
      <c r="F15" s="7" t="n"/>
      <c r="G15" s="7" t="inlineStr">
        <is>
          <t>O</t>
        </is>
      </c>
      <c r="H15" s="7" t="n"/>
      <c r="I15" s="7" t="n"/>
      <c r="J15" s="7" t="n"/>
      <c r="K15" s="7" t="n"/>
      <c r="L15" s="7" t="n"/>
      <c r="M15" s="7" t="n"/>
      <c r="N15" s="7" t="n"/>
      <c r="O15" s="7" t="n"/>
      <c r="P15" s="7" t="n"/>
      <c r="Q15" s="7" t="n"/>
      <c r="R15" s="7" t="n"/>
      <c r="S15" s="7" t="n"/>
    </row>
    <row r="16" ht="21" customHeight="1">
      <c r="A16" s="11" t="n"/>
      <c r="B16" s="11" t="n"/>
      <c r="C16" s="11" t="n"/>
      <c r="D16" s="4" t="inlineStr">
        <is>
          <t>31 ký tự (Vượt biên max 30)</t>
        </is>
      </c>
      <c r="E16" s="7" t="n"/>
      <c r="F16" s="7" t="n"/>
      <c r="G16" s="7" t="n"/>
      <c r="H16" s="7" t="inlineStr">
        <is>
          <t>O</t>
        </is>
      </c>
      <c r="I16" s="7" t="n"/>
      <c r="J16" s="7" t="n"/>
      <c r="K16" s="7" t="n"/>
      <c r="L16" s="7" t="n"/>
      <c r="M16" s="7" t="n"/>
      <c r="N16" s="7" t="n"/>
      <c r="O16" s="7" t="n"/>
      <c r="P16" s="7" t="n"/>
      <c r="Q16" s="7" t="n"/>
      <c r="R16" s="7" t="n"/>
      <c r="S16" s="7" t="n"/>
    </row>
    <row r="17" ht="21" customHeight="1">
      <c r="A17" s="11" t="n"/>
      <c r="B17" s="11" t="n"/>
      <c r="C17" s="11" t="n"/>
      <c r="D17" s="4" t="inlineStr">
        <is>
          <t>Chứa ký tự đặc biệt ('@')</t>
        </is>
      </c>
      <c r="E17" s="7" t="n"/>
      <c r="F17" s="7" t="n"/>
      <c r="G17" s="7" t="n"/>
      <c r="H17" s="7" t="n"/>
      <c r="I17" s="7" t="inlineStr">
        <is>
          <t>O</t>
        </is>
      </c>
      <c r="J17" s="7" t="n"/>
      <c r="K17" s="7" t="n"/>
      <c r="L17" s="7" t="n"/>
      <c r="M17" s="7" t="n"/>
      <c r="N17" s="7" t="n"/>
      <c r="O17" s="7" t="n"/>
      <c r="P17" s="7" t="n"/>
      <c r="Q17" s="7" t="n"/>
      <c r="R17" s="7" t="n"/>
      <c r="S17" s="7" t="n"/>
    </row>
    <row r="18" ht="21" customHeight="1">
      <c r="A18" s="11" t="n"/>
      <c r="B18" s="11" t="n"/>
      <c r="C18" s="11" t="n"/>
      <c r="D18" s="4" t="inlineStr">
        <is>
          <t>Chứa khoảng trắng</t>
        </is>
      </c>
      <c r="E18" s="7" t="n"/>
      <c r="F18" s="7" t="n"/>
      <c r="G18" s="7" t="n"/>
      <c r="H18" s="7" t="n"/>
      <c r="I18" s="7" t="n"/>
      <c r="J18" s="7" t="inlineStr">
        <is>
          <t>O</t>
        </is>
      </c>
      <c r="K18" s="7" t="n"/>
      <c r="L18" s="7" t="n"/>
      <c r="M18" s="7" t="n"/>
      <c r="N18" s="7" t="n"/>
      <c r="O18" s="7" t="n"/>
      <c r="P18" s="7" t="n"/>
      <c r="Q18" s="7" t="n"/>
      <c r="R18" s="7" t="n"/>
      <c r="S18" s="7" t="n"/>
    </row>
    <row r="19" ht="21" customHeight="1">
      <c r="A19" s="11" t="n"/>
      <c r="B19" s="11" t="n"/>
      <c r="C19" s="11" t="n"/>
      <c r="D19" s="4" t="inlineStr">
        <is>
          <t>Đã tồn tại trong CSDL ('ACCVAL001')</t>
        </is>
      </c>
      <c r="E19" s="7" t="n"/>
      <c r="F19" s="7" t="n"/>
      <c r="G19" s="7" t="n"/>
      <c r="H19" s="7" t="n"/>
      <c r="I19" s="7" t="n"/>
      <c r="J19" s="7" t="n"/>
      <c r="K19" s="7" t="inlineStr">
        <is>
          <t>O</t>
        </is>
      </c>
      <c r="L19" s="7" t="n"/>
      <c r="M19" s="7" t="n"/>
      <c r="N19" s="7" t="n"/>
      <c r="O19" s="7" t="n"/>
      <c r="P19" s="7" t="n"/>
      <c r="Q19" s="7" t="n"/>
      <c r="R19" s="7" t="n"/>
      <c r="S19" s="7" t="n"/>
    </row>
    <row r="20" ht="21" customHeight="1">
      <c r="A20" s="11" t="n"/>
      <c r="B20" s="11" t="n"/>
      <c r="C20" s="11" t="n"/>
      <c r="D20" s="4" t="inlineStr">
        <is>
          <t>Hợp lệ ('ACCVAL01')</t>
        </is>
      </c>
      <c r="E20" s="7" t="n"/>
      <c r="F20" s="7" t="n"/>
      <c r="G20" s="7" t="n"/>
      <c r="H20" s="7" t="n"/>
      <c r="I20" s="7" t="n"/>
      <c r="J20" s="7" t="n"/>
      <c r="K20" s="7" t="n"/>
      <c r="L20" s="7" t="inlineStr">
        <is>
          <t>O</t>
        </is>
      </c>
      <c r="M20" s="7" t="inlineStr">
        <is>
          <t>O</t>
        </is>
      </c>
      <c r="N20" s="7" t="inlineStr">
        <is>
          <t>O</t>
        </is>
      </c>
      <c r="O20" s="7" t="inlineStr">
        <is>
          <t>O</t>
        </is>
      </c>
      <c r="P20" s="7" t="inlineStr">
        <is>
          <t>O</t>
        </is>
      </c>
      <c r="Q20" s="7" t="inlineStr">
        <is>
          <t>O</t>
        </is>
      </c>
      <c r="R20" s="7" t="inlineStr">
        <is>
          <t>O</t>
        </is>
      </c>
      <c r="S20" s="7" t="inlineStr">
        <is>
          <t>O</t>
        </is>
      </c>
    </row>
    <row r="21" ht="22" customHeight="1">
      <c r="A21" s="22" t="n"/>
      <c r="B21" s="23" t="inlineStr">
        <is>
          <t>Tên sản phẩm</t>
        </is>
      </c>
      <c r="C21" s="22" t="n"/>
      <c r="D21" s="22" t="n"/>
      <c r="E21" s="22" t="n"/>
      <c r="F21" s="22" t="n"/>
      <c r="G21" s="22" t="n"/>
      <c r="H21" s="22" t="n"/>
      <c r="I21" s="22" t="n"/>
      <c r="J21" s="22" t="n"/>
      <c r="K21" s="22" t="n"/>
      <c r="L21" s="22" t="n"/>
      <c r="M21" s="22" t="n"/>
      <c r="N21" s="22" t="n"/>
      <c r="O21" s="22" t="n"/>
      <c r="P21" s="22" t="n"/>
      <c r="Q21" s="22" t="n"/>
      <c r="R21" s="22" t="n"/>
      <c r="S21" s="22" t="n"/>
    </row>
    <row r="22" ht="21" customHeight="1">
      <c r="A22" s="11" t="n"/>
      <c r="B22" s="11" t="n"/>
      <c r="C22" s="11" t="n"/>
      <c r="D22" s="4" t="inlineStr">
        <is>
          <t>9 ký tự (Dưới biên min 10)</t>
        </is>
      </c>
      <c r="E22" s="7" t="n"/>
      <c r="F22" s="7" t="n"/>
      <c r="G22" s="7" t="n"/>
      <c r="H22" s="7" t="n"/>
      <c r="I22" s="7" t="n"/>
      <c r="J22" s="7" t="n"/>
      <c r="K22" s="7" t="n"/>
      <c r="L22" s="7" t="inlineStr">
        <is>
          <t>O</t>
        </is>
      </c>
      <c r="M22" s="7" t="n"/>
      <c r="N22" s="7" t="n"/>
      <c r="O22" s="7" t="n"/>
      <c r="P22" s="7" t="n"/>
      <c r="Q22" s="7" t="n"/>
      <c r="R22" s="7" t="n"/>
      <c r="S22" s="7" t="n"/>
    </row>
    <row r="23" ht="21" customHeight="1">
      <c r="A23" s="11" t="n"/>
      <c r="B23" s="11" t="n"/>
      <c r="C23" s="11" t="n"/>
      <c r="D23" s="4" t="inlineStr">
        <is>
          <t>10 ký tự (Biên min hợp lệ)</t>
        </is>
      </c>
      <c r="E23" s="7" t="n"/>
      <c r="F23" s="7" t="n"/>
      <c r="G23" s="7" t="n"/>
      <c r="H23" s="7" t="n"/>
      <c r="I23" s="7" t="n"/>
      <c r="J23" s="7" t="n"/>
      <c r="K23" s="7" t="n"/>
      <c r="L23" s="7" t="n"/>
      <c r="M23" s="7" t="inlineStr">
        <is>
          <t>O</t>
        </is>
      </c>
      <c r="N23" s="7" t="n"/>
      <c r="O23" s="7" t="n"/>
      <c r="P23" s="7" t="n"/>
      <c r="Q23" s="7" t="n"/>
      <c r="R23" s="7" t="n"/>
      <c r="S23" s="7" t="n"/>
    </row>
    <row r="24" ht="21" customHeight="1">
      <c r="A24" s="11" t="n"/>
      <c r="B24" s="11" t="n"/>
      <c r="C24" s="11" t="n"/>
      <c r="D24" s="4" t="inlineStr">
        <is>
          <t>50 ký tự (Biên max hợp lệ)</t>
        </is>
      </c>
      <c r="E24" s="7" t="n"/>
      <c r="F24" s="7" t="n"/>
      <c r="G24" s="7" t="n"/>
      <c r="H24" s="7" t="n"/>
      <c r="I24" s="7" t="n"/>
      <c r="J24" s="7" t="n"/>
      <c r="K24" s="7" t="n"/>
      <c r="L24" s="7" t="n"/>
      <c r="M24" s="7" t="n"/>
      <c r="N24" s="7" t="inlineStr">
        <is>
          <t>O</t>
        </is>
      </c>
      <c r="O24" s="7" t="n"/>
      <c r="P24" s="7" t="n"/>
      <c r="Q24" s="7" t="n"/>
      <c r="R24" s="7" t="n"/>
      <c r="S24" s="7" t="n"/>
    </row>
    <row r="25" ht="21" customHeight="1">
      <c r="A25" s="11" t="n"/>
      <c r="B25" s="11" t="n"/>
      <c r="C25" s="11" t="n"/>
      <c r="D25" s="4" t="inlineStr">
        <is>
          <t>51 ký tự (Vượt biên max 50)</t>
        </is>
      </c>
      <c r="E25" s="7" t="n"/>
      <c r="F25" s="7" t="n"/>
      <c r="G25" s="7" t="n"/>
      <c r="H25" s="7" t="n"/>
      <c r="I25" s="7" t="n"/>
      <c r="J25" s="7" t="n"/>
      <c r="K25" s="7" t="n"/>
      <c r="L25" s="7" t="n"/>
      <c r="M25" s="7" t="n"/>
      <c r="N25" s="7" t="n"/>
      <c r="O25" s="7" t="inlineStr">
        <is>
          <t>O</t>
        </is>
      </c>
      <c r="P25" s="7" t="n"/>
      <c r="Q25" s="7" t="n"/>
      <c r="R25" s="7" t="n"/>
      <c r="S25" s="7" t="n"/>
    </row>
    <row r="26" ht="21" customHeight="1">
      <c r="A26" s="11" t="n"/>
      <c r="B26" s="11" t="n"/>
      <c r="C26" s="11" t="n"/>
      <c r="D26" s="4" t="inlineStr">
        <is>
          <t>Hợp lệ (10-50 ký tự)</t>
        </is>
      </c>
      <c r="E26" s="7" t="inlineStr">
        <is>
          <t>O</t>
        </is>
      </c>
      <c r="F26" s="7" t="inlineStr">
        <is>
          <t>O</t>
        </is>
      </c>
      <c r="G26" s="7" t="inlineStr">
        <is>
          <t>O</t>
        </is>
      </c>
      <c r="H26" s="7" t="inlineStr">
        <is>
          <t>O</t>
        </is>
      </c>
      <c r="I26" s="7" t="inlineStr">
        <is>
          <t>O</t>
        </is>
      </c>
      <c r="J26" s="7" t="inlineStr">
        <is>
          <t>O</t>
        </is>
      </c>
      <c r="K26" s="7" t="inlineStr">
        <is>
          <t>O</t>
        </is>
      </c>
      <c r="L26" s="7" t="n"/>
      <c r="M26" s="7" t="n"/>
      <c r="N26" s="7" t="n"/>
      <c r="O26" s="7" t="n"/>
      <c r="P26" s="7" t="inlineStr">
        <is>
          <t>O</t>
        </is>
      </c>
      <c r="Q26" s="7" t="inlineStr">
        <is>
          <t>O</t>
        </is>
      </c>
      <c r="R26" s="7" t="inlineStr">
        <is>
          <t>O</t>
        </is>
      </c>
      <c r="S26" s="7" t="inlineStr">
        <is>
          <t>O</t>
        </is>
      </c>
    </row>
    <row r="27" ht="22" customHeight="1">
      <c r="A27" s="22" t="n"/>
      <c r="B27" s="23" t="inlineStr">
        <is>
          <t>Hình ảnh &amp; Giá</t>
        </is>
      </c>
      <c r="C27" s="22" t="n"/>
      <c r="D27" s="22" t="n"/>
      <c r="E27" s="22" t="n"/>
      <c r="F27" s="22" t="n"/>
      <c r="G27" s="22" t="n"/>
      <c r="H27" s="22" t="n"/>
      <c r="I27" s="22" t="n"/>
      <c r="J27" s="22" t="n"/>
      <c r="K27" s="22" t="n"/>
      <c r="L27" s="22" t="n"/>
      <c r="M27" s="22" t="n"/>
      <c r="N27" s="22" t="n"/>
      <c r="O27" s="22" t="n"/>
      <c r="P27" s="22" t="n"/>
      <c r="Q27" s="22" t="n"/>
      <c r="R27" s="22" t="n"/>
      <c r="S27" s="22" t="n"/>
    </row>
    <row r="28" ht="21" customHeight="1">
      <c r="A28" s="11" t="n"/>
      <c r="B28" s="11" t="n"/>
      <c r="C28" s="11" t="n"/>
      <c r="D28" s="4" t="inlineStr">
        <is>
          <t>Sai định dạng ảnh (.pdf, .zip)</t>
        </is>
      </c>
      <c r="E28" s="7" t="n"/>
      <c r="F28" s="7" t="n"/>
      <c r="G28" s="7" t="n"/>
      <c r="H28" s="7" t="n"/>
      <c r="I28" s="7" t="n"/>
      <c r="J28" s="7" t="n"/>
      <c r="K28" s="7" t="n"/>
      <c r="L28" s="7" t="n"/>
      <c r="M28" s="7" t="n"/>
      <c r="N28" s="7" t="n"/>
      <c r="O28" s="7" t="n"/>
      <c r="P28" s="7" t="inlineStr">
        <is>
          <t>O</t>
        </is>
      </c>
      <c r="Q28" s="7" t="n"/>
      <c r="R28" s="7" t="n"/>
      <c r="S28" s="7" t="n"/>
    </row>
    <row r="29" ht="21" customHeight="1">
      <c r="A29" s="11" t="n"/>
      <c r="B29" s="11" t="n"/>
      <c r="C29" s="11" t="n"/>
      <c r="D29" s="4" t="inlineStr">
        <is>
          <t>Dung lượng ảnh 1.5MB (&gt; 1MB)</t>
        </is>
      </c>
      <c r="E29" s="7" t="n"/>
      <c r="F29" s="7" t="n"/>
      <c r="G29" s="7" t="n"/>
      <c r="H29" s="7" t="n"/>
      <c r="I29" s="7" t="n"/>
      <c r="J29" s="7" t="n"/>
      <c r="K29" s="7" t="n"/>
      <c r="L29" s="7" t="n"/>
      <c r="M29" s="7" t="n"/>
      <c r="N29" s="7" t="n"/>
      <c r="O29" s="7" t="n"/>
      <c r="P29" s="7" t="n"/>
      <c r="Q29" s="7" t="inlineStr">
        <is>
          <t>O</t>
        </is>
      </c>
      <c r="R29" s="7" t="n"/>
      <c r="S29" s="7" t="n"/>
    </row>
    <row r="30" ht="21" customHeight="1">
      <c r="A30" s="11" t="n"/>
      <c r="B30" s="11" t="n"/>
      <c r="C30" s="11" t="n"/>
      <c r="D30" s="4" t="inlineStr">
        <is>
          <t>Ảnh PNG 800KB hợp lệ (&lt;= 1MB)</t>
        </is>
      </c>
      <c r="E30" s="7" t="inlineStr">
        <is>
          <t>O</t>
        </is>
      </c>
      <c r="F30" s="7" t="inlineStr">
        <is>
          <t>O</t>
        </is>
      </c>
      <c r="G30" s="7" t="inlineStr">
        <is>
          <t>O</t>
        </is>
      </c>
      <c r="H30" s="7" t="inlineStr">
        <is>
          <t>O</t>
        </is>
      </c>
      <c r="I30" s="7" t="inlineStr">
        <is>
          <t>O</t>
        </is>
      </c>
      <c r="J30" s="7" t="inlineStr">
        <is>
          <t>O</t>
        </is>
      </c>
      <c r="K30" s="7" t="inlineStr">
        <is>
          <t>O</t>
        </is>
      </c>
      <c r="L30" s="7" t="inlineStr">
        <is>
          <t>O</t>
        </is>
      </c>
      <c r="M30" s="7" t="inlineStr">
        <is>
          <t>O</t>
        </is>
      </c>
      <c r="N30" s="7" t="inlineStr">
        <is>
          <t>O</t>
        </is>
      </c>
      <c r="O30" s="7" t="inlineStr">
        <is>
          <t>O</t>
        </is>
      </c>
      <c r="P30" s="7" t="n"/>
      <c r="Q30" s="7" t="n"/>
      <c r="R30" s="7" t="inlineStr">
        <is>
          <t>O</t>
        </is>
      </c>
      <c r="S30" s="7" t="n"/>
    </row>
    <row r="31" ht="21" customHeight="1">
      <c r="A31" s="11" t="n"/>
      <c r="B31" s="11" t="n"/>
      <c r="C31" s="11" t="n"/>
      <c r="D31" s="4" t="inlineStr">
        <is>
          <t>Giá thuê âm (-10.000 VNĐ)</t>
        </is>
      </c>
      <c r="E31" s="7" t="n"/>
      <c r="F31" s="7" t="n"/>
      <c r="G31" s="7" t="n"/>
      <c r="H31" s="7" t="n"/>
      <c r="I31" s="7" t="n"/>
      <c r="J31" s="7" t="n"/>
      <c r="K31" s="7" t="n"/>
      <c r="L31" s="7" t="n"/>
      <c r="M31" s="7" t="n"/>
      <c r="N31" s="7" t="n"/>
      <c r="O31" s="7" t="n"/>
      <c r="P31" s="7" t="n"/>
      <c r="Q31" s="7" t="n"/>
      <c r="R31" s="7" t="n"/>
      <c r="S31" s="7" t="inlineStr">
        <is>
          <t>O</t>
        </is>
      </c>
    </row>
    <row r="32" ht="21" customHeight="1">
      <c r="A32" s="11" t="n"/>
      <c r="B32" s="11" t="n"/>
      <c r="C32" s="11" t="n"/>
      <c r="D32" s="4" t="inlineStr">
        <is>
          <t>Giá thuê hợp lệ (&gt; 0)</t>
        </is>
      </c>
      <c r="E32" s="7" t="inlineStr">
        <is>
          <t>O</t>
        </is>
      </c>
      <c r="F32" s="7" t="inlineStr">
        <is>
          <t>O</t>
        </is>
      </c>
      <c r="G32" s="7" t="inlineStr">
        <is>
          <t>O</t>
        </is>
      </c>
      <c r="H32" s="7" t="inlineStr">
        <is>
          <t>O</t>
        </is>
      </c>
      <c r="I32" s="7" t="inlineStr">
        <is>
          <t>O</t>
        </is>
      </c>
      <c r="J32" s="7" t="inlineStr">
        <is>
          <t>O</t>
        </is>
      </c>
      <c r="K32" s="7" t="inlineStr">
        <is>
          <t>O</t>
        </is>
      </c>
      <c r="L32" s="7" t="inlineStr">
        <is>
          <t>O</t>
        </is>
      </c>
      <c r="M32" s="7" t="inlineStr">
        <is>
          <t>O</t>
        </is>
      </c>
      <c r="N32" s="7" t="inlineStr">
        <is>
          <t>O</t>
        </is>
      </c>
      <c r="O32" s="7" t="inlineStr">
        <is>
          <t>O</t>
        </is>
      </c>
      <c r="P32" s="7" t="inlineStr">
        <is>
          <t>O</t>
        </is>
      </c>
      <c r="Q32" s="7" t="inlineStr">
        <is>
          <t>O</t>
        </is>
      </c>
      <c r="R32" s="7" t="inlineStr">
        <is>
          <t>O</t>
        </is>
      </c>
      <c r="S32" s="7" t="n"/>
    </row>
    <row r="34" ht="24" customHeight="1">
      <c r="A34" s="6" t="inlineStr">
        <is>
          <t>Confirm</t>
        </is>
      </c>
      <c r="B34" s="6" t="inlineStr">
        <is>
          <t>Return / Exception</t>
        </is>
      </c>
      <c r="C34" s="6" t="n"/>
      <c r="D34" s="6" t="n"/>
      <c r="E34" s="6" t="n"/>
      <c r="F34" s="6" t="n"/>
      <c r="G34" s="6" t="n"/>
      <c r="H34" s="6" t="n"/>
      <c r="I34" s="6" t="n"/>
      <c r="J34" s="6" t="n"/>
      <c r="K34" s="6" t="n"/>
      <c r="L34" s="6" t="n"/>
      <c r="M34" s="6" t="n"/>
      <c r="N34" s="6" t="n"/>
      <c r="O34" s="6" t="n"/>
      <c r="P34" s="6" t="n"/>
      <c r="Q34" s="6" t="n"/>
      <c r="R34" s="6" t="n"/>
      <c r="S34" s="6" t="n"/>
    </row>
    <row r="35" ht="21" customHeight="1">
      <c r="A35" s="11" t="n"/>
      <c r="B35" s="11" t="n"/>
      <c r="C35" s="11" t="n"/>
      <c r="D35" s="4" t="inlineStr">
        <is>
          <t>isValid = true (Thêm sản phẩm thành công)</t>
        </is>
      </c>
      <c r="E35" s="7" t="n"/>
      <c r="F35" s="7" t="inlineStr">
        <is>
          <t>O</t>
        </is>
      </c>
      <c r="G35" s="7" t="inlineStr">
        <is>
          <t>O</t>
        </is>
      </c>
      <c r="H35" s="7" t="n"/>
      <c r="I35" s="7" t="n"/>
      <c r="J35" s="7" t="n"/>
      <c r="K35" s="7" t="n"/>
      <c r="L35" s="7" t="n"/>
      <c r="M35" s="7" t="inlineStr">
        <is>
          <t>O</t>
        </is>
      </c>
      <c r="N35" s="7" t="inlineStr">
        <is>
          <t>O</t>
        </is>
      </c>
      <c r="O35" s="7" t="n"/>
      <c r="P35" s="7" t="n"/>
      <c r="Q35" s="7" t="n"/>
      <c r="R35" s="7" t="inlineStr">
        <is>
          <t>O</t>
        </is>
      </c>
      <c r="S35" s="7" t="n"/>
    </row>
    <row r="36" ht="21" customHeight="1">
      <c r="A36" s="11" t="n"/>
      <c r="B36" s="11" t="n"/>
      <c r="C36" s="11" t="n"/>
      <c r="D36" s="4" t="inlineStr">
        <is>
          <t>error = 'Mã sản phẩm phải từ 8 ký tự trở lên'</t>
        </is>
      </c>
      <c r="E36" s="7" t="inlineStr">
        <is>
          <t>O</t>
        </is>
      </c>
      <c r="F36" s="7" t="n"/>
      <c r="G36" s="7" t="n"/>
      <c r="H36" s="7" t="n"/>
      <c r="I36" s="7" t="n"/>
      <c r="J36" s="7" t="n"/>
      <c r="K36" s="7" t="n"/>
      <c r="L36" s="7" t="n"/>
      <c r="M36" s="7" t="n"/>
      <c r="N36" s="7" t="n"/>
      <c r="O36" s="7" t="n"/>
      <c r="P36" s="7" t="n"/>
      <c r="Q36" s="7" t="n"/>
      <c r="R36" s="7" t="n"/>
      <c r="S36" s="7" t="n"/>
    </row>
    <row r="37" ht="21" customHeight="1">
      <c r="A37" s="11" t="n"/>
      <c r="B37" s="11" t="n"/>
      <c r="C37" s="11" t="n"/>
      <c r="D37" s="4" t="inlineStr">
        <is>
          <t>error = 'Mã sản phẩm không vượt quá 30 ký tự'</t>
        </is>
      </c>
      <c r="E37" s="7" t="n"/>
      <c r="F37" s="7" t="n"/>
      <c r="G37" s="7" t="n"/>
      <c r="H37" s="7" t="inlineStr">
        <is>
          <t>O</t>
        </is>
      </c>
      <c r="I37" s="7" t="n"/>
      <c r="J37" s="7" t="n"/>
      <c r="K37" s="7" t="n"/>
      <c r="L37" s="7" t="n"/>
      <c r="M37" s="7" t="n"/>
      <c r="N37" s="7" t="n"/>
      <c r="O37" s="7" t="n"/>
      <c r="P37" s="7" t="n"/>
      <c r="Q37" s="7" t="n"/>
      <c r="R37" s="7" t="n"/>
      <c r="S37" s="7" t="n"/>
    </row>
    <row r="38" ht="21" customHeight="1">
      <c r="A38" s="11" t="n"/>
      <c r="B38" s="11" t="n"/>
      <c r="C38" s="11" t="n"/>
      <c r="D38" s="4" t="inlineStr">
        <is>
          <t>error = 'Mã sản phẩm chỉ gồm chữ và số'</t>
        </is>
      </c>
      <c r="E38" s="7" t="n"/>
      <c r="F38" s="7" t="n"/>
      <c r="G38" s="7" t="n"/>
      <c r="H38" s="7" t="n"/>
      <c r="I38" s="7" t="inlineStr">
        <is>
          <t>O</t>
        </is>
      </c>
      <c r="J38" s="7" t="n"/>
      <c r="K38" s="7" t="n"/>
      <c r="L38" s="7" t="n"/>
      <c r="M38" s="7" t="n"/>
      <c r="N38" s="7" t="n"/>
      <c r="O38" s="7" t="n"/>
      <c r="P38" s="7" t="n"/>
      <c r="Q38" s="7" t="n"/>
      <c r="R38" s="7" t="n"/>
      <c r="S38" s="7" t="n"/>
    </row>
    <row r="39" ht="21" customHeight="1">
      <c r="A39" s="11" t="n"/>
      <c r="B39" s="11" t="n"/>
      <c r="C39" s="11" t="n"/>
      <c r="D39" s="4" t="inlineStr">
        <is>
          <t>error = 'Mã sản phẩm không chứa khoảng trắng'</t>
        </is>
      </c>
      <c r="E39" s="7" t="n"/>
      <c r="F39" s="7" t="n"/>
      <c r="G39" s="7" t="n"/>
      <c r="H39" s="7" t="n"/>
      <c r="I39" s="7" t="n"/>
      <c r="J39" s="7" t="inlineStr">
        <is>
          <t>O</t>
        </is>
      </c>
      <c r="K39" s="7" t="n"/>
      <c r="L39" s="7" t="n"/>
      <c r="M39" s="7" t="n"/>
      <c r="N39" s="7" t="n"/>
      <c r="O39" s="7" t="n"/>
      <c r="P39" s="7" t="n"/>
      <c r="Q39" s="7" t="n"/>
      <c r="R39" s="7" t="n"/>
      <c r="S39" s="7" t="n"/>
    </row>
    <row r="40" ht="21" customHeight="1">
      <c r="A40" s="11" t="n"/>
      <c r="B40" s="11" t="n"/>
      <c r="C40" s="11" t="n"/>
      <c r="D40" s="4" t="inlineStr">
        <is>
          <t>error = 'Mã sản phẩm đã tồn tại trong hệ thống'</t>
        </is>
      </c>
      <c r="E40" s="7" t="n"/>
      <c r="F40" s="7" t="n"/>
      <c r="G40" s="7" t="n"/>
      <c r="H40" s="7" t="n"/>
      <c r="I40" s="7" t="n"/>
      <c r="J40" s="7" t="n"/>
      <c r="K40" s="7" t="inlineStr">
        <is>
          <t>O</t>
        </is>
      </c>
      <c r="L40" s="7" t="n"/>
      <c r="M40" s="7" t="n"/>
      <c r="N40" s="7" t="n"/>
      <c r="O40" s="7" t="n"/>
      <c r="P40" s="7" t="n"/>
      <c r="Q40" s="7" t="n"/>
      <c r="R40" s="7" t="n"/>
      <c r="S40" s="7" t="n"/>
    </row>
    <row r="41" ht="21" customHeight="1">
      <c r="A41" s="11" t="n"/>
      <c r="B41" s="11" t="n"/>
      <c r="C41" s="11" t="n"/>
      <c r="D41" s="4" t="inlineStr">
        <is>
          <t>error = 'Tên sản phẩm phải từ 10 ký tự trở lên'</t>
        </is>
      </c>
      <c r="E41" s="7" t="n"/>
      <c r="F41" s="7" t="n"/>
      <c r="G41" s="7" t="n"/>
      <c r="H41" s="7" t="n"/>
      <c r="I41" s="7" t="n"/>
      <c r="J41" s="7" t="n"/>
      <c r="K41" s="7" t="n"/>
      <c r="L41" s="7" t="inlineStr">
        <is>
          <t>O</t>
        </is>
      </c>
      <c r="M41" s="7" t="n"/>
      <c r="N41" s="7" t="n"/>
      <c r="O41" s="7" t="n"/>
      <c r="P41" s="7" t="n"/>
      <c r="Q41" s="7" t="n"/>
      <c r="R41" s="7" t="n"/>
      <c r="S41" s="7" t="n"/>
    </row>
    <row r="42" ht="21" customHeight="1">
      <c r="A42" s="11" t="n"/>
      <c r="B42" s="11" t="n"/>
      <c r="C42" s="11" t="n"/>
      <c r="D42" s="4" t="inlineStr">
        <is>
          <t>error = 'Tên sản phẩm không quá 50 ký tự'</t>
        </is>
      </c>
      <c r="E42" s="7" t="n"/>
      <c r="F42" s="7" t="n"/>
      <c r="G42" s="7" t="n"/>
      <c r="H42" s="7" t="n"/>
      <c r="I42" s="7" t="n"/>
      <c r="J42" s="7" t="n"/>
      <c r="K42" s="7" t="n"/>
      <c r="L42" s="7" t="n"/>
      <c r="M42" s="7" t="n"/>
      <c r="N42" s="7" t="n"/>
      <c r="O42" s="7" t="inlineStr">
        <is>
          <t>O</t>
        </is>
      </c>
      <c r="P42" s="7" t="n"/>
      <c r="Q42" s="7" t="n"/>
      <c r="R42" s="7" t="n"/>
      <c r="S42" s="7" t="n"/>
    </row>
    <row r="43" ht="21" customHeight="1">
      <c r="A43" s="11" t="n"/>
      <c r="B43" s="11" t="n"/>
      <c r="C43" s="11" t="n"/>
      <c r="D43" s="4" t="inlineStr">
        <is>
          <t>error = 'Ảnh phải đúng định dạng (.jpg, .png, .gif)'</t>
        </is>
      </c>
      <c r="E43" s="7" t="n"/>
      <c r="F43" s="7" t="n"/>
      <c r="G43" s="7" t="n"/>
      <c r="H43" s="7" t="n"/>
      <c r="I43" s="7" t="n"/>
      <c r="J43" s="7" t="n"/>
      <c r="K43" s="7" t="n"/>
      <c r="L43" s="7" t="n"/>
      <c r="M43" s="7" t="n"/>
      <c r="N43" s="7" t="n"/>
      <c r="O43" s="7" t="n"/>
      <c r="P43" s="7" t="inlineStr">
        <is>
          <t>O</t>
        </is>
      </c>
      <c r="Q43" s="7" t="n"/>
      <c r="R43" s="7" t="n"/>
      <c r="S43" s="7" t="n"/>
    </row>
    <row r="44" ht="21" customHeight="1">
      <c r="A44" s="11" t="n"/>
      <c r="B44" s="11" t="n"/>
      <c r="C44" s="11" t="n"/>
      <c r="D44" s="4" t="inlineStr">
        <is>
          <t>error = 'Dung lượng ảnh vượt quá 1MB'</t>
        </is>
      </c>
      <c r="E44" s="7" t="n"/>
      <c r="F44" s="7" t="n"/>
      <c r="G44" s="7" t="n"/>
      <c r="H44" s="7" t="n"/>
      <c r="I44" s="7" t="n"/>
      <c r="J44" s="7" t="n"/>
      <c r="K44" s="7" t="n"/>
      <c r="L44" s="7" t="n"/>
      <c r="M44" s="7" t="n"/>
      <c r="N44" s="7" t="n"/>
      <c r="O44" s="7" t="n"/>
      <c r="P44" s="7" t="n"/>
      <c r="Q44" s="7" t="inlineStr">
        <is>
          <t>O</t>
        </is>
      </c>
      <c r="R44" s="7" t="n"/>
      <c r="S44" s="7" t="n"/>
    </row>
    <row r="45" ht="21" customHeight="1">
      <c r="A45" s="11" t="n"/>
      <c r="B45" s="11" t="n"/>
      <c r="C45" s="11" t="n"/>
      <c r="D45" s="4" t="inlineStr">
        <is>
          <t>error = 'Giá thuê mỗi giờ phải lớn hơn 0'</t>
        </is>
      </c>
      <c r="E45" s="7" t="n"/>
      <c r="F45" s="7" t="n"/>
      <c r="G45" s="7" t="n"/>
      <c r="H45" s="7" t="n"/>
      <c r="I45" s="7" t="n"/>
      <c r="J45" s="7" t="n"/>
      <c r="K45" s="7" t="n"/>
      <c r="L45" s="7" t="n"/>
      <c r="M45" s="7" t="n"/>
      <c r="N45" s="7" t="n"/>
      <c r="O45" s="7" t="n"/>
      <c r="P45" s="7" t="n"/>
      <c r="Q45" s="7" t="n"/>
      <c r="R45" s="7" t="n"/>
      <c r="S45" s="7" t="inlineStr">
        <is>
          <t>O</t>
        </is>
      </c>
    </row>
    <row r="47" ht="23" customHeight="1">
      <c r="A47" s="6" t="inlineStr">
        <is>
          <t>Result</t>
        </is>
      </c>
      <c r="B47" s="6" t="inlineStr">
        <is>
          <t>Type(N : Normal, A : Abnormal, B : Boundary)</t>
        </is>
      </c>
      <c r="C47" s="6" t="n"/>
      <c r="D47" s="6" t="n"/>
      <c r="E47" s="6" t="inlineStr">
        <is>
          <t>B</t>
        </is>
      </c>
      <c r="F47" s="6" t="inlineStr">
        <is>
          <t>B</t>
        </is>
      </c>
      <c r="G47" s="6" t="inlineStr">
        <is>
          <t>B</t>
        </is>
      </c>
      <c r="H47" s="6" t="inlineStr">
        <is>
          <t>B</t>
        </is>
      </c>
      <c r="I47" s="6" t="inlineStr">
        <is>
          <t>A</t>
        </is>
      </c>
      <c r="J47" s="6" t="inlineStr">
        <is>
          <t>A</t>
        </is>
      </c>
      <c r="K47" s="6" t="inlineStr">
        <is>
          <t>A</t>
        </is>
      </c>
      <c r="L47" s="6" t="inlineStr">
        <is>
          <t>B</t>
        </is>
      </c>
      <c r="M47" s="6" t="inlineStr">
        <is>
          <t>B</t>
        </is>
      </c>
      <c r="N47" s="6" t="inlineStr">
        <is>
          <t>B</t>
        </is>
      </c>
      <c r="O47" s="6" t="inlineStr">
        <is>
          <t>B</t>
        </is>
      </c>
      <c r="P47" s="6" t="inlineStr">
        <is>
          <t>A</t>
        </is>
      </c>
      <c r="Q47" s="6" t="inlineStr">
        <is>
          <t>B</t>
        </is>
      </c>
      <c r="R47" s="6" t="inlineStr">
        <is>
          <t>N</t>
        </is>
      </c>
      <c r="S47" s="6" t="inlineStr">
        <is>
          <t>A</t>
        </is>
      </c>
    </row>
    <row r="48" ht="23" customHeight="1">
      <c r="A48" s="11" t="n"/>
      <c r="B48" s="24" t="inlineStr">
        <is>
          <t>Passed/Failed</t>
        </is>
      </c>
      <c r="C48" s="11" t="n"/>
      <c r="D48" s="11" t="n"/>
      <c r="E48" s="25" t="inlineStr">
        <is>
          <t>P</t>
        </is>
      </c>
      <c r="F48" s="25" t="inlineStr">
        <is>
          <t>P</t>
        </is>
      </c>
      <c r="G48" s="25" t="inlineStr">
        <is>
          <t>P</t>
        </is>
      </c>
      <c r="H48" s="25" t="inlineStr">
        <is>
          <t>P</t>
        </is>
      </c>
      <c r="I48" s="25" t="inlineStr">
        <is>
          <t>P</t>
        </is>
      </c>
      <c r="J48" s="25" t="inlineStr">
        <is>
          <t>P</t>
        </is>
      </c>
      <c r="K48" s="25" t="inlineStr">
        <is>
          <t>P</t>
        </is>
      </c>
      <c r="L48" s="25" t="inlineStr">
        <is>
          <t>P</t>
        </is>
      </c>
      <c r="M48" s="25" t="inlineStr">
        <is>
          <t>P</t>
        </is>
      </c>
      <c r="N48" s="25" t="inlineStr">
        <is>
          <t>P</t>
        </is>
      </c>
      <c r="O48" s="25" t="inlineStr">
        <is>
          <t>P</t>
        </is>
      </c>
      <c r="P48" s="25" t="inlineStr">
        <is>
          <t>P</t>
        </is>
      </c>
      <c r="Q48" s="25" t="inlineStr">
        <is>
          <t>P</t>
        </is>
      </c>
      <c r="R48" s="25" t="inlineStr">
        <is>
          <t>P</t>
        </is>
      </c>
      <c r="S48" s="25" t="inlineStr">
        <is>
          <t>P</t>
        </is>
      </c>
    </row>
    <row r="49" ht="21" customHeight="1">
      <c r="A49" s="11" t="n"/>
      <c r="B49" s="14" t="inlineStr">
        <is>
          <t>Executed Date</t>
        </is>
      </c>
      <c r="C49" s="11" t="n"/>
      <c r="D49" s="11" t="n"/>
      <c r="E49" s="26" t="inlineStr">
        <is>
          <t>26/09/2026</t>
        </is>
      </c>
      <c r="F49" s="26" t="inlineStr">
        <is>
          <t>26/09/2026</t>
        </is>
      </c>
      <c r="G49" s="26" t="inlineStr">
        <is>
          <t>26/09/2026</t>
        </is>
      </c>
      <c r="H49" s="26" t="inlineStr">
        <is>
          <t>26/09/2026</t>
        </is>
      </c>
      <c r="I49" s="26" t="inlineStr">
        <is>
          <t>26/09/2026</t>
        </is>
      </c>
      <c r="J49" s="26" t="inlineStr">
        <is>
          <t>26/09/2026</t>
        </is>
      </c>
      <c r="K49" s="26" t="inlineStr">
        <is>
          <t>26/09/2026</t>
        </is>
      </c>
      <c r="L49" s="26" t="inlineStr">
        <is>
          <t>26/09/2026</t>
        </is>
      </c>
      <c r="M49" s="26" t="inlineStr">
        <is>
          <t>26/09/2026</t>
        </is>
      </c>
      <c r="N49" s="26" t="inlineStr">
        <is>
          <t>26/09/2026</t>
        </is>
      </c>
      <c r="O49" s="26" t="inlineStr">
        <is>
          <t>26/09/2026</t>
        </is>
      </c>
      <c r="P49" s="26" t="inlineStr">
        <is>
          <t>26/09/2026</t>
        </is>
      </c>
      <c r="Q49" s="26" t="inlineStr">
        <is>
          <t>26/09/2026</t>
        </is>
      </c>
      <c r="R49" s="26" t="inlineStr">
        <is>
          <t>26/09/2026</t>
        </is>
      </c>
      <c r="S49" s="26" t="inlineStr">
        <is>
          <t>26/09/2026</t>
        </is>
      </c>
    </row>
    <row r="50" ht="21" customHeight="1">
      <c r="A50" s="11" t="n"/>
      <c r="B50" s="14" t="inlineStr">
        <is>
          <t>Defect ID</t>
        </is>
      </c>
      <c r="C50" s="11" t="n"/>
      <c r="D50" s="11" t="n"/>
      <c r="E50" s="27" t="inlineStr"/>
      <c r="F50" s="27" t="inlineStr"/>
      <c r="G50" s="27" t="inlineStr"/>
      <c r="H50" s="27" t="inlineStr"/>
      <c r="I50" s="27" t="inlineStr"/>
      <c r="J50" s="27" t="inlineStr"/>
      <c r="K50" s="27" t="inlineStr"/>
      <c r="L50" s="27" t="inlineStr"/>
      <c r="M50" s="27" t="inlineStr"/>
      <c r="N50" s="27" t="inlineStr"/>
      <c r="O50" s="27" t="inlineStr"/>
      <c r="P50" s="27" t="inlineStr"/>
      <c r="Q50" s="27" t="inlineStr"/>
      <c r="R50" s="27" t="inlineStr"/>
      <c r="S50" s="27"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2:N39"/>
  <sheetViews>
    <sheetView workbookViewId="0">
      <selection activeCell="A1" sqref="A1"/>
    </sheetView>
  </sheetViews>
  <sheetFormatPr baseColWidth="8" defaultRowHeight="15"/>
  <cols>
    <col width="12" customWidth="1" min="1" max="1"/>
    <col width="24" customWidth="1" min="2" max="2"/>
    <col width="12" customWidth="1" min="3" max="3"/>
    <col width="48"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s>
  <sheetData>
    <row r="2" ht="22" customHeight="1">
      <c r="A2" s="5" t="inlineStr">
        <is>
          <t>Function Code</t>
        </is>
      </c>
      <c r="C2" s="19" t="inlineStr">
        <is>
          <t>F_REF_EXT</t>
        </is>
      </c>
      <c r="E2" s="5" t="inlineStr">
        <is>
          <t>Function Name</t>
        </is>
      </c>
      <c r="G2" s="18" t="inlineStr">
        <is>
          <t>calculateRefundAndExtension</t>
        </is>
      </c>
    </row>
    <row r="3" ht="22" customHeight="1">
      <c r="A3" s="5" t="inlineStr">
        <is>
          <t>Created By</t>
        </is>
      </c>
      <c r="C3" s="18" t="inlineStr">
        <is>
          <t>Nhóm 15</t>
        </is>
      </c>
      <c r="E3" s="5" t="inlineStr">
        <is>
          <t>Executed By</t>
        </is>
      </c>
      <c r="G3" s="18" t="inlineStr">
        <is>
          <t>Nhóm 15 (Automation)</t>
        </is>
      </c>
    </row>
    <row r="4" ht="22" customHeight="1">
      <c r="A4" s="5" t="inlineStr">
        <is>
          <t>Lines of code</t>
        </is>
      </c>
      <c r="C4" s="18" t="n">
        <v>48</v>
      </c>
    </row>
    <row r="5" ht="22" customHeight="1">
      <c r="A5" s="5" t="inlineStr">
        <is>
          <t>Test requirement</t>
        </is>
      </c>
      <c r="C5" s="18" t="inlineStr">
        <is>
          <t>Tính hoàn tiền 50% khi trả sớm, hoàn tiền 100% khi khiếu nại được duyệt, và gia hạn thêm giờ thuê</t>
        </is>
      </c>
    </row>
    <row r="6" ht="22" customHeight="1">
      <c r="A6" s="6" t="inlineStr">
        <is>
          <t>Passed</t>
        </is>
      </c>
      <c r="C6" s="6" t="inlineStr">
        <is>
          <t>Failed</t>
        </is>
      </c>
      <c r="E6" s="6" t="inlineStr">
        <is>
          <t>Untested</t>
        </is>
      </c>
      <c r="K6" s="6" t="inlineStr">
        <is>
          <t>N</t>
        </is>
      </c>
      <c r="L6" s="6" t="inlineStr">
        <is>
          <t>A</t>
        </is>
      </c>
      <c r="M6" s="6" t="inlineStr">
        <is>
          <t>B</t>
        </is>
      </c>
      <c r="N6" s="6" t="inlineStr">
        <is>
          <t>Total Test Cases</t>
        </is>
      </c>
    </row>
    <row r="7" ht="24" customHeight="1">
      <c r="A7" s="20">
        <f>COUNTIF(E37:L37,"P")</f>
        <v/>
      </c>
      <c r="C7" s="20">
        <f>COUNTIF(E37:L37,"F")</f>
        <v/>
      </c>
      <c r="E7" s="20">
        <f>SUM(N7,-A7,-C7)</f>
        <v/>
      </c>
      <c r="K7" s="20">
        <f>COUNTIF(E36:L36,"N")</f>
        <v/>
      </c>
      <c r="L7" s="20">
        <f>COUNTIF(E36:L36,"A")</f>
        <v/>
      </c>
      <c r="M7" s="20">
        <f>COUNTIF(E36:L36,"B")</f>
        <v/>
      </c>
      <c r="N7" s="20">
        <f>COUNTA(E9:L9)</f>
        <v/>
      </c>
    </row>
    <row r="9" ht="24" customHeight="1">
      <c r="E9" s="6" t="inlineStr">
        <is>
          <t>UTCID01</t>
        </is>
      </c>
      <c r="F9" s="6" t="inlineStr">
        <is>
          <t>UTCID02</t>
        </is>
      </c>
      <c r="G9" s="6" t="inlineStr">
        <is>
          <t>UTCID03</t>
        </is>
      </c>
      <c r="H9" s="6" t="inlineStr">
        <is>
          <t>UTCID04</t>
        </is>
      </c>
      <c r="I9" s="6" t="inlineStr">
        <is>
          <t>UTCID05</t>
        </is>
      </c>
      <c r="J9" s="6" t="inlineStr">
        <is>
          <t>UTCID06</t>
        </is>
      </c>
      <c r="K9" s="6" t="inlineStr">
        <is>
          <t>UTCID07</t>
        </is>
      </c>
      <c r="L9" s="6" t="inlineStr">
        <is>
          <t>UTCID08</t>
        </is>
      </c>
    </row>
    <row r="10" ht="22" customHeight="1">
      <c r="A10" s="6" t="inlineStr">
        <is>
          <t>Condition</t>
        </is>
      </c>
      <c r="B10" s="6" t="inlineStr">
        <is>
          <t>Precondition</t>
        </is>
      </c>
      <c r="D10" s="6" t="inlineStr">
        <is>
          <t>N/A</t>
        </is>
      </c>
      <c r="E10" s="21" t="n"/>
      <c r="F10" s="21" t="n"/>
      <c r="G10" s="21" t="n"/>
      <c r="H10" s="21" t="n"/>
      <c r="I10" s="21" t="n"/>
      <c r="J10" s="21" t="n"/>
      <c r="K10" s="21" t="n"/>
      <c r="L10" s="21" t="n"/>
    </row>
    <row r="12" ht="22" customHeight="1">
      <c r="A12" s="22" t="n"/>
      <c r="B12" s="23" t="inlineStr">
        <is>
          <t>Hành động</t>
        </is>
      </c>
      <c r="C12" s="22" t="n"/>
      <c r="D12" s="22" t="n"/>
      <c r="E12" s="22" t="n"/>
      <c r="F12" s="22" t="n"/>
      <c r="G12" s="22" t="n"/>
      <c r="H12" s="22" t="n"/>
      <c r="I12" s="22" t="n"/>
      <c r="J12" s="22" t="n"/>
      <c r="K12" s="22" t="n"/>
      <c r="L12" s="22" t="n"/>
    </row>
    <row r="13" ht="21" customHeight="1">
      <c r="A13" s="11" t="n"/>
      <c r="B13" s="11" t="n"/>
      <c r="C13" s="11" t="n"/>
      <c r="D13" s="4" t="inlineStr">
        <is>
          <t>Trả tài khoản sớm (return_early)</t>
        </is>
      </c>
      <c r="E13" s="7" t="inlineStr">
        <is>
          <t>O</t>
        </is>
      </c>
      <c r="F13" s="7" t="inlineStr">
        <is>
          <t>O</t>
        </is>
      </c>
      <c r="G13" s="7" t="n"/>
      <c r="H13" s="7" t="n"/>
      <c r="I13" s="7" t="n"/>
      <c r="J13" s="7" t="n"/>
      <c r="K13" s="7" t="n"/>
      <c r="L13" s="7" t="n"/>
    </row>
    <row r="14" ht="21" customHeight="1">
      <c r="A14" s="11" t="n"/>
      <c r="B14" s="11" t="n"/>
      <c r="C14" s="11" t="n"/>
      <c r="D14" s="4" t="inlineStr">
        <is>
          <t>Duyệt bồi thường khiếu nại (dispute_approved)</t>
        </is>
      </c>
      <c r="E14" s="7" t="n"/>
      <c r="F14" s="7" t="n"/>
      <c r="G14" s="7" t="inlineStr">
        <is>
          <t>O</t>
        </is>
      </c>
      <c r="H14" s="7" t="inlineStr">
        <is>
          <t>O</t>
        </is>
      </c>
      <c r="I14" s="7" t="n"/>
      <c r="J14" s="7" t="n"/>
      <c r="K14" s="7" t="n"/>
      <c r="L14" s="7" t="n"/>
    </row>
    <row r="15" ht="21" customHeight="1">
      <c r="A15" s="11" t="n"/>
      <c r="B15" s="11" t="n"/>
      <c r="C15" s="11" t="n"/>
      <c r="D15" s="4" t="inlineStr">
        <is>
          <t>Gia hạn thêm giờ (extend)</t>
        </is>
      </c>
      <c r="E15" s="7" t="n"/>
      <c r="F15" s="7" t="n"/>
      <c r="G15" s="7" t="n"/>
      <c r="H15" s="7" t="n"/>
      <c r="I15" s="7" t="inlineStr">
        <is>
          <t>O</t>
        </is>
      </c>
      <c r="J15" s="7" t="inlineStr">
        <is>
          <t>O</t>
        </is>
      </c>
      <c r="K15" s="7" t="inlineStr">
        <is>
          <t>O</t>
        </is>
      </c>
      <c r="L15" s="7" t="inlineStr">
        <is>
          <t>O</t>
        </is>
      </c>
    </row>
    <row r="16" ht="22" customHeight="1">
      <c r="A16" s="22" t="n"/>
      <c r="B16" s="23" t="inlineStr">
        <is>
          <t>Thời gian / Điều kiện</t>
        </is>
      </c>
      <c r="C16" s="22" t="n"/>
      <c r="D16" s="22" t="n"/>
      <c r="E16" s="22" t="n"/>
      <c r="F16" s="22" t="n"/>
      <c r="G16" s="22" t="n"/>
      <c r="H16" s="22" t="n"/>
      <c r="I16" s="22" t="n"/>
      <c r="J16" s="22" t="n"/>
      <c r="K16" s="22" t="n"/>
      <c r="L16" s="22" t="n"/>
    </row>
    <row r="17" ht="21" customHeight="1">
      <c r="A17" s="11" t="n"/>
      <c r="B17" s="11" t="n"/>
      <c r="C17" s="11" t="n"/>
      <c r="D17" s="4" t="inlineStr">
        <is>
          <t>Còn 2 giờ thừa (30.000 đ/h)</t>
        </is>
      </c>
      <c r="E17" s="7" t="inlineStr">
        <is>
          <t>O</t>
        </is>
      </c>
      <c r="F17" s="7" t="n"/>
      <c r="G17" s="7" t="n"/>
      <c r="H17" s="7" t="n"/>
      <c r="I17" s="7" t="n"/>
      <c r="J17" s="7" t="n"/>
      <c r="K17" s="7" t="n"/>
      <c r="L17" s="7" t="n"/>
    </row>
    <row r="18" ht="21" customHeight="1">
      <c r="A18" s="11" t="n"/>
      <c r="B18" s="11" t="n"/>
      <c r="C18" s="11" t="n"/>
      <c r="D18" s="4" t="inlineStr">
        <is>
          <t>Đã hết giờ chơi (0 giờ thừa)</t>
        </is>
      </c>
      <c r="E18" s="7" t="n"/>
      <c r="F18" s="7" t="inlineStr">
        <is>
          <t>O</t>
        </is>
      </c>
      <c r="G18" s="7" t="n"/>
      <c r="H18" s="7" t="n"/>
      <c r="I18" s="7" t="n"/>
      <c r="J18" s="7" t="n"/>
      <c r="K18" s="7" t="n"/>
      <c r="L18" s="7" t="n"/>
    </row>
    <row r="19" ht="21" customHeight="1">
      <c r="A19" s="11" t="n"/>
      <c r="B19" s="11" t="n"/>
      <c r="C19" s="11" t="n"/>
      <c r="D19" s="4" t="inlineStr">
        <is>
          <t>Đơn hàng giá trị 30.000 đ</t>
        </is>
      </c>
      <c r="E19" s="7" t="n"/>
      <c r="F19" s="7" t="n"/>
      <c r="G19" s="7" t="inlineStr">
        <is>
          <t>O</t>
        </is>
      </c>
      <c r="H19" s="7" t="n"/>
      <c r="I19" s="7" t="n"/>
      <c r="J19" s="7" t="n"/>
      <c r="K19" s="7" t="n"/>
      <c r="L19" s="7" t="n"/>
    </row>
    <row r="20" ht="21" customHeight="1">
      <c r="A20" s="11" t="n"/>
      <c r="B20" s="11" t="n"/>
      <c r="C20" s="11" t="n"/>
      <c r="D20" s="4" t="inlineStr">
        <is>
          <t>Đơn hàng giá trị 50.000 đ</t>
        </is>
      </c>
      <c r="E20" s="7" t="n"/>
      <c r="F20" s="7" t="n"/>
      <c r="G20" s="7" t="n"/>
      <c r="H20" s="7" t="inlineStr">
        <is>
          <t>O</t>
        </is>
      </c>
      <c r="I20" s="7" t="n"/>
      <c r="J20" s="7" t="n"/>
      <c r="K20" s="7" t="n"/>
      <c r="L20" s="7" t="n"/>
    </row>
    <row r="21" ht="21" customHeight="1">
      <c r="A21" s="11" t="n"/>
      <c r="B21" s="11" t="n"/>
      <c r="C21" s="11" t="n"/>
      <c r="D21" s="4" t="inlineStr">
        <is>
          <t>Gia hạn thêm 1 giờ khi còn hạn</t>
        </is>
      </c>
      <c r="E21" s="7" t="n"/>
      <c r="F21" s="7" t="n"/>
      <c r="G21" s="7" t="n"/>
      <c r="H21" s="7" t="n"/>
      <c r="I21" s="7" t="inlineStr">
        <is>
          <t>O</t>
        </is>
      </c>
      <c r="J21" s="7" t="n"/>
      <c r="K21" s="7" t="n"/>
      <c r="L21" s="7" t="n"/>
    </row>
    <row r="22" ht="21" customHeight="1">
      <c r="A22" s="11" t="n"/>
      <c r="B22" s="11" t="n"/>
      <c r="C22" s="11" t="n"/>
      <c r="D22" s="4" t="inlineStr">
        <is>
          <t>Gia hạn thêm 24 giờ</t>
        </is>
      </c>
      <c r="E22" s="7" t="n"/>
      <c r="F22" s="7" t="n"/>
      <c r="G22" s="7" t="n"/>
      <c r="H22" s="7" t="n"/>
      <c r="I22" s="7" t="n"/>
      <c r="J22" s="7" t="inlineStr">
        <is>
          <t>O</t>
        </is>
      </c>
      <c r="K22" s="7" t="n"/>
      <c r="L22" s="7" t="n"/>
    </row>
    <row r="23" ht="21" customHeight="1">
      <c r="A23" s="11" t="n"/>
      <c r="B23" s="11" t="n"/>
      <c r="C23" s="11" t="n"/>
      <c r="D23" s="4" t="inlineStr">
        <is>
          <t>Gia hạn khi đơn đã quá hạn</t>
        </is>
      </c>
      <c r="E23" s="7" t="n"/>
      <c r="F23" s="7" t="n"/>
      <c r="G23" s="7" t="n"/>
      <c r="H23" s="7" t="n"/>
      <c r="I23" s="7" t="n"/>
      <c r="J23" s="7" t="n"/>
      <c r="K23" s="7" t="inlineStr">
        <is>
          <t>O</t>
        </is>
      </c>
      <c r="L23" s="7" t="n"/>
    </row>
    <row r="24" ht="21" customHeight="1">
      <c r="A24" s="11" t="n"/>
      <c r="B24" s="11" t="n"/>
      <c r="C24" s="11" t="n"/>
      <c r="D24" s="4" t="inlineStr">
        <is>
          <t>Số giờ gia hạn &lt;= 0</t>
        </is>
      </c>
      <c r="E24" s="7" t="n"/>
      <c r="F24" s="7" t="n"/>
      <c r="G24" s="7" t="n"/>
      <c r="H24" s="7" t="n"/>
      <c r="I24" s="7" t="n"/>
      <c r="J24" s="7" t="n"/>
      <c r="K24" s="7" t="n"/>
      <c r="L24" s="7" t="inlineStr">
        <is>
          <t>O</t>
        </is>
      </c>
    </row>
    <row r="26" ht="24" customHeight="1">
      <c r="A26" s="6" t="inlineStr">
        <is>
          <t>Confirm</t>
        </is>
      </c>
      <c r="B26" s="6" t="inlineStr">
        <is>
          <t>Return / Exception</t>
        </is>
      </c>
      <c r="C26" s="6" t="n"/>
      <c r="D26" s="6" t="n"/>
      <c r="E26" s="6" t="n"/>
      <c r="F26" s="6" t="n"/>
      <c r="G26" s="6" t="n"/>
      <c r="H26" s="6" t="n"/>
      <c r="I26" s="6" t="n"/>
      <c r="J26" s="6" t="n"/>
      <c r="K26" s="6" t="n"/>
      <c r="L26" s="6" t="n"/>
    </row>
    <row r="27" ht="21" customHeight="1">
      <c r="A27" s="11" t="n"/>
      <c r="B27" s="11" t="n"/>
      <c r="C27" s="11" t="n"/>
      <c r="D27" s="4" t="inlineStr">
        <is>
          <t>Hoàn 50% = 30.000 đ, orderStatus = 'completed'</t>
        </is>
      </c>
      <c r="E27" s="7" t="inlineStr">
        <is>
          <t>O</t>
        </is>
      </c>
      <c r="F27" s="7" t="n"/>
      <c r="G27" s="7" t="n"/>
      <c r="H27" s="7" t="n"/>
      <c r="I27" s="7" t="n"/>
      <c r="J27" s="7" t="n"/>
      <c r="K27" s="7" t="n"/>
      <c r="L27" s="7" t="n"/>
    </row>
    <row r="28" ht="21" customHeight="1">
      <c r="A28" s="11" t="n"/>
      <c r="B28" s="11" t="n"/>
      <c r="C28" s="11" t="n"/>
      <c r="D28" s="4" t="inlineStr">
        <is>
          <t>Hoàn 0 đ</t>
        </is>
      </c>
      <c r="E28" s="7" t="n"/>
      <c r="F28" s="7" t="inlineStr">
        <is>
          <t>O</t>
        </is>
      </c>
      <c r="G28" s="7" t="n"/>
      <c r="H28" s="7" t="n"/>
      <c r="I28" s="7" t="n"/>
      <c r="J28" s="7" t="n"/>
      <c r="K28" s="7" t="n"/>
      <c r="L28" s="7" t="n"/>
    </row>
    <row r="29" ht="21" customHeight="1">
      <c r="A29" s="11" t="n"/>
      <c r="B29" s="11" t="n"/>
      <c r="C29" s="11" t="n"/>
      <c r="D29" s="4" t="inlineStr">
        <is>
          <t>Hoàn 100% = 30.000 đ, accountStatus = 'maintenance'</t>
        </is>
      </c>
      <c r="E29" s="7" t="n"/>
      <c r="F29" s="7" t="n"/>
      <c r="G29" s="7" t="inlineStr">
        <is>
          <t>O</t>
        </is>
      </c>
      <c r="H29" s="7" t="n"/>
      <c r="I29" s="7" t="n"/>
      <c r="J29" s="7" t="n"/>
      <c r="K29" s="7" t="n"/>
      <c r="L29" s="7" t="n"/>
    </row>
    <row r="30" ht="21" customHeight="1">
      <c r="A30" s="11" t="n"/>
      <c r="B30" s="11" t="n"/>
      <c r="C30" s="11" t="n"/>
      <c r="D30" s="4" t="inlineStr">
        <is>
          <t>Hoàn 100% = 50.000 đ</t>
        </is>
      </c>
      <c r="E30" s="7" t="n"/>
      <c r="F30" s="7" t="n"/>
      <c r="G30" s="7" t="n"/>
      <c r="H30" s="7" t="inlineStr">
        <is>
          <t>O</t>
        </is>
      </c>
      <c r="I30" s="7" t="n"/>
      <c r="J30" s="7" t="n"/>
      <c r="K30" s="7" t="n"/>
      <c r="L30" s="7" t="n"/>
    </row>
    <row r="31" ht="21" customHeight="1">
      <c r="A31" s="11" t="n"/>
      <c r="B31" s="11" t="n"/>
      <c r="C31" s="11" t="n"/>
      <c r="D31" s="4" t="inlineStr">
        <is>
          <t>Cộng nối tiếp 3.600s vào expiresAt, phí 15k</t>
        </is>
      </c>
      <c r="E31" s="7" t="n"/>
      <c r="F31" s="7" t="n"/>
      <c r="G31" s="7" t="n"/>
      <c r="H31" s="7" t="n"/>
      <c r="I31" s="7" t="inlineStr">
        <is>
          <t>O</t>
        </is>
      </c>
      <c r="J31" s="7" t="n"/>
      <c r="K31" s="7" t="n"/>
      <c r="L31" s="7" t="n"/>
    </row>
    <row r="32" ht="21" customHeight="1">
      <c r="A32" s="11" t="n"/>
      <c r="B32" s="11" t="n"/>
      <c r="C32" s="11" t="n"/>
      <c r="D32" s="4" t="inlineStr">
        <is>
          <t>Cộng nối tiếp 24h, chi phí 360.000 đ</t>
        </is>
      </c>
      <c r="E32" s="7" t="n"/>
      <c r="F32" s="7" t="n"/>
      <c r="G32" s="7" t="n"/>
      <c r="H32" s="7" t="n"/>
      <c r="I32" s="7" t="n"/>
      <c r="J32" s="7" t="inlineStr">
        <is>
          <t>O</t>
        </is>
      </c>
      <c r="K32" s="7" t="n"/>
      <c r="L32" s="7" t="n"/>
    </row>
    <row r="33" ht="21" customHeight="1">
      <c r="A33" s="11" t="n"/>
      <c r="B33" s="11" t="n"/>
      <c r="C33" s="11" t="n"/>
      <c r="D33" s="4" t="inlineStr">
        <is>
          <t>Tính mốc mới bắt đầu từ Date.now()</t>
        </is>
      </c>
      <c r="E33" s="7" t="n"/>
      <c r="F33" s="7" t="n"/>
      <c r="G33" s="7" t="n"/>
      <c r="H33" s="7" t="n"/>
      <c r="I33" s="7" t="n"/>
      <c r="J33" s="7" t="n"/>
      <c r="K33" s="7" t="inlineStr">
        <is>
          <t>O</t>
        </is>
      </c>
      <c r="L33" s="7" t="n"/>
    </row>
    <row r="34" ht="21" customHeight="1">
      <c r="A34" s="11" t="n"/>
      <c r="B34" s="11" t="n"/>
      <c r="C34" s="11" t="n"/>
      <c r="D34" s="4" t="inlineStr">
        <is>
          <t>error = 'Số giờ gia hạn phải lớn hơn 0'</t>
        </is>
      </c>
      <c r="E34" s="7" t="n"/>
      <c r="F34" s="7" t="n"/>
      <c r="G34" s="7" t="n"/>
      <c r="H34" s="7" t="n"/>
      <c r="I34" s="7" t="n"/>
      <c r="J34" s="7" t="n"/>
      <c r="K34" s="7" t="n"/>
      <c r="L34" s="7" t="inlineStr">
        <is>
          <t>O</t>
        </is>
      </c>
    </row>
    <row r="36" ht="23" customHeight="1">
      <c r="A36" s="6" t="inlineStr">
        <is>
          <t>Result</t>
        </is>
      </c>
      <c r="B36" s="6" t="inlineStr">
        <is>
          <t>Type(N : Normal, A : Abnormal, B : Boundary)</t>
        </is>
      </c>
      <c r="C36" s="6" t="n"/>
      <c r="D36" s="6" t="n"/>
      <c r="E36" s="6" t="inlineStr">
        <is>
          <t>N</t>
        </is>
      </c>
      <c r="F36" s="6" t="inlineStr">
        <is>
          <t>B</t>
        </is>
      </c>
      <c r="G36" s="6" t="inlineStr">
        <is>
          <t>N</t>
        </is>
      </c>
      <c r="H36" s="6" t="inlineStr">
        <is>
          <t>N</t>
        </is>
      </c>
      <c r="I36" s="6" t="inlineStr">
        <is>
          <t>N</t>
        </is>
      </c>
      <c r="J36" s="6" t="inlineStr">
        <is>
          <t>N</t>
        </is>
      </c>
      <c r="K36" s="6" t="inlineStr">
        <is>
          <t>B</t>
        </is>
      </c>
      <c r="L36" s="6" t="inlineStr">
        <is>
          <t>A</t>
        </is>
      </c>
    </row>
    <row r="37" ht="23" customHeight="1">
      <c r="A37" s="11" t="n"/>
      <c r="B37" s="24" t="inlineStr">
        <is>
          <t>Passed/Failed</t>
        </is>
      </c>
      <c r="C37" s="11" t="n"/>
      <c r="D37" s="11" t="n"/>
      <c r="E37" s="25" t="inlineStr">
        <is>
          <t>P</t>
        </is>
      </c>
      <c r="F37" s="25" t="inlineStr">
        <is>
          <t>P</t>
        </is>
      </c>
      <c r="G37" s="25" t="inlineStr">
        <is>
          <t>P</t>
        </is>
      </c>
      <c r="H37" s="25" t="inlineStr">
        <is>
          <t>P</t>
        </is>
      </c>
      <c r="I37" s="25" t="inlineStr">
        <is>
          <t>P</t>
        </is>
      </c>
      <c r="J37" s="25" t="inlineStr">
        <is>
          <t>P</t>
        </is>
      </c>
      <c r="K37" s="25" t="inlineStr">
        <is>
          <t>P</t>
        </is>
      </c>
      <c r="L37" s="25" t="inlineStr">
        <is>
          <t>P</t>
        </is>
      </c>
    </row>
    <row r="38" ht="21" customHeight="1">
      <c r="A38" s="11" t="n"/>
      <c r="B38" s="14" t="inlineStr">
        <is>
          <t>Executed Date</t>
        </is>
      </c>
      <c r="C38" s="11" t="n"/>
      <c r="D38" s="11" t="n"/>
      <c r="E38" s="26" t="inlineStr">
        <is>
          <t>26/09/2026</t>
        </is>
      </c>
      <c r="F38" s="26" t="inlineStr">
        <is>
          <t>26/09/2026</t>
        </is>
      </c>
      <c r="G38" s="26" t="inlineStr">
        <is>
          <t>26/09/2026</t>
        </is>
      </c>
      <c r="H38" s="26" t="inlineStr">
        <is>
          <t>26/09/2026</t>
        </is>
      </c>
      <c r="I38" s="26" t="inlineStr">
        <is>
          <t>26/09/2026</t>
        </is>
      </c>
      <c r="J38" s="26" t="inlineStr">
        <is>
          <t>26/09/2026</t>
        </is>
      </c>
      <c r="K38" s="26" t="inlineStr">
        <is>
          <t>26/09/2026</t>
        </is>
      </c>
      <c r="L38" s="26" t="inlineStr">
        <is>
          <t>26/09/2026</t>
        </is>
      </c>
    </row>
    <row r="39" ht="21" customHeight="1">
      <c r="A39" s="11" t="n"/>
      <c r="B39" s="14" t="inlineStr">
        <is>
          <t>Defect ID</t>
        </is>
      </c>
      <c r="C39" s="11" t="n"/>
      <c r="D39" s="11" t="n"/>
      <c r="E39" s="27" t="inlineStr"/>
      <c r="F39" s="27" t="inlineStr"/>
      <c r="G39" s="27" t="inlineStr"/>
      <c r="H39" s="27" t="inlineStr"/>
      <c r="I39" s="27" t="inlineStr"/>
      <c r="J39" s="27" t="inlineStr"/>
      <c r="K39" s="27" t="inlineStr"/>
      <c r="L39" s="27"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2:N40"/>
  <sheetViews>
    <sheetView workbookViewId="0">
      <selection activeCell="A1" sqref="A1"/>
    </sheetView>
  </sheetViews>
  <sheetFormatPr baseColWidth="8" defaultRowHeight="15"/>
  <cols>
    <col width="12" customWidth="1" min="1" max="1"/>
    <col width="24" customWidth="1" min="2" max="2"/>
    <col width="12" customWidth="1" min="3" max="3"/>
    <col width="48"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s>
  <sheetData>
    <row r="2" ht="22" customHeight="1">
      <c r="A2" s="5" t="inlineStr">
        <is>
          <t>Function Code</t>
        </is>
      </c>
      <c r="C2" s="19" t="inlineStr">
        <is>
          <t>F_AUTO_PASS</t>
        </is>
      </c>
      <c r="E2" s="5" t="inlineStr">
        <is>
          <t>Function Name</t>
        </is>
      </c>
      <c r="G2" s="18" t="inlineStr">
        <is>
          <t>generateRandomPassword</t>
        </is>
      </c>
    </row>
    <row r="3" ht="22" customHeight="1">
      <c r="A3" s="5" t="inlineStr">
        <is>
          <t>Created By</t>
        </is>
      </c>
      <c r="C3" s="18" t="inlineStr">
        <is>
          <t>Nhóm 15</t>
        </is>
      </c>
      <c r="E3" s="5" t="inlineStr">
        <is>
          <t>Executed By</t>
        </is>
      </c>
      <c r="G3" s="18" t="inlineStr">
        <is>
          <t>Nhóm 15 (Automation)</t>
        </is>
      </c>
    </row>
    <row r="4" ht="22" customHeight="1">
      <c r="A4" s="5" t="inlineStr">
        <is>
          <t>Lines of code</t>
        </is>
      </c>
      <c r="C4" s="18" t="n">
        <v>32</v>
      </c>
    </row>
    <row r="5" ht="22" customHeight="1">
      <c r="A5" s="5" t="inlineStr">
        <is>
          <t>Test requirement</t>
        </is>
      </c>
      <c r="C5" s="18" t="inlineStr">
        <is>
          <t>Tự động sinh mật khẩu ngẫu nhiên bảo mật cao (12-14 ký tự) khi thu hồi nick hết giờ, chống trùng pass cũ</t>
        </is>
      </c>
    </row>
    <row r="6" ht="22" customHeight="1">
      <c r="A6" s="6" t="inlineStr">
        <is>
          <t>Passed</t>
        </is>
      </c>
      <c r="C6" s="6" t="inlineStr">
        <is>
          <t>Failed</t>
        </is>
      </c>
      <c r="E6" s="6" t="inlineStr">
        <is>
          <t>Untested</t>
        </is>
      </c>
      <c r="K6" s="6" t="inlineStr">
        <is>
          <t>N</t>
        </is>
      </c>
      <c r="L6" s="6" t="inlineStr">
        <is>
          <t>A</t>
        </is>
      </c>
      <c r="M6" s="6" t="inlineStr">
        <is>
          <t>B</t>
        </is>
      </c>
      <c r="N6" s="6" t="inlineStr">
        <is>
          <t>Total Test Cases</t>
        </is>
      </c>
    </row>
    <row r="7" ht="24" customHeight="1">
      <c r="A7" s="20">
        <f>COUNTIF(E38:N38,"P")</f>
        <v/>
      </c>
      <c r="C7" s="20">
        <f>COUNTIF(E38:N38,"F")</f>
        <v/>
      </c>
      <c r="E7" s="20">
        <f>SUM(N7,-A7,-C7)</f>
        <v/>
      </c>
      <c r="K7" s="20">
        <f>COUNTIF(E37:N37,"N")</f>
        <v/>
      </c>
      <c r="L7" s="20">
        <f>COUNTIF(E37:N37,"A")</f>
        <v/>
      </c>
      <c r="M7" s="20">
        <f>COUNTIF(E37:N37,"B")</f>
        <v/>
      </c>
      <c r="N7" s="20">
        <f>COUNTA(E9:N9)</f>
        <v/>
      </c>
    </row>
    <row r="9" ht="24" customHeight="1">
      <c r="E9" s="6" t="inlineStr">
        <is>
          <t>UTCID01</t>
        </is>
      </c>
      <c r="F9" s="6" t="inlineStr">
        <is>
          <t>UTCID02</t>
        </is>
      </c>
      <c r="G9" s="6" t="inlineStr">
        <is>
          <t>UTCID03</t>
        </is>
      </c>
      <c r="H9" s="6" t="inlineStr">
        <is>
          <t>UTCID04</t>
        </is>
      </c>
      <c r="I9" s="6" t="inlineStr">
        <is>
          <t>UTCID05</t>
        </is>
      </c>
      <c r="J9" s="6" t="inlineStr">
        <is>
          <t>UTCID06</t>
        </is>
      </c>
      <c r="K9" s="6" t="inlineStr">
        <is>
          <t>UTCID07</t>
        </is>
      </c>
      <c r="L9" s="6" t="inlineStr">
        <is>
          <t>UTCID08</t>
        </is>
      </c>
      <c r="M9" s="6" t="inlineStr">
        <is>
          <t>UTCID09</t>
        </is>
      </c>
      <c r="N9" s="6" t="inlineStr">
        <is>
          <t>UTCID10</t>
        </is>
      </c>
    </row>
    <row r="10" ht="22" customHeight="1">
      <c r="A10" s="6" t="inlineStr">
        <is>
          <t>Condition</t>
        </is>
      </c>
      <c r="B10" s="6" t="inlineStr">
        <is>
          <t>Precondition</t>
        </is>
      </c>
      <c r="D10" s="6" t="inlineStr">
        <is>
          <t>N/A</t>
        </is>
      </c>
      <c r="E10" s="21" t="n"/>
      <c r="F10" s="21" t="n"/>
      <c r="G10" s="21" t="n"/>
      <c r="H10" s="21" t="n"/>
      <c r="I10" s="21" t="n"/>
      <c r="J10" s="21" t="n"/>
      <c r="K10" s="21" t="n"/>
      <c r="L10" s="21" t="n"/>
      <c r="M10" s="21" t="n"/>
      <c r="N10" s="21" t="n"/>
    </row>
    <row r="12" ht="22" customHeight="1">
      <c r="A12" s="22" t="n"/>
      <c r="B12" s="23" t="inlineStr">
        <is>
          <t>Mật khẩu cũ</t>
        </is>
      </c>
      <c r="C12" s="22" t="n"/>
      <c r="D12" s="22" t="n"/>
      <c r="E12" s="22" t="n"/>
      <c r="F12" s="22" t="n"/>
      <c r="G12" s="22" t="n"/>
      <c r="H12" s="22" t="n"/>
      <c r="I12" s="22" t="n"/>
      <c r="J12" s="22" t="n"/>
      <c r="K12" s="22" t="n"/>
      <c r="L12" s="22" t="n"/>
      <c r="M12" s="22" t="n"/>
      <c r="N12" s="22" t="n"/>
    </row>
    <row r="13" ht="21" customHeight="1">
      <c r="A13" s="11" t="n"/>
      <c r="B13" s="11" t="n"/>
      <c r="C13" s="11" t="n"/>
      <c r="D13" s="4" t="inlineStr">
        <is>
          <t>Có mật khẩu cũ cụ thể ('OldPass@123')</t>
        </is>
      </c>
      <c r="E13" s="7" t="inlineStr">
        <is>
          <t>O</t>
        </is>
      </c>
      <c r="F13" s="7" t="inlineStr">
        <is>
          <t>O</t>
        </is>
      </c>
      <c r="G13" s="7" t="inlineStr">
        <is>
          <t>O</t>
        </is>
      </c>
      <c r="H13" s="7" t="inlineStr">
        <is>
          <t>O</t>
        </is>
      </c>
      <c r="I13" s="7" t="n"/>
      <c r="J13" s="7" t="n"/>
      <c r="K13" s="7" t="inlineStr">
        <is>
          <t>O</t>
        </is>
      </c>
      <c r="L13" s="7" t="inlineStr">
        <is>
          <t>O</t>
        </is>
      </c>
      <c r="M13" s="7" t="n"/>
      <c r="N13" s="7" t="n"/>
    </row>
    <row r="14" ht="21" customHeight="1">
      <c r="A14" s="11" t="n"/>
      <c r="B14" s="11" t="n"/>
      <c r="C14" s="11" t="n"/>
      <c r="D14" s="4" t="inlineStr">
        <is>
          <t>Không truyền mật khẩu cũ ('')</t>
        </is>
      </c>
      <c r="E14" s="7" t="n"/>
      <c r="F14" s="7" t="n"/>
      <c r="G14" s="7" t="n"/>
      <c r="H14" s="7" t="n"/>
      <c r="I14" s="7" t="inlineStr">
        <is>
          <t>O</t>
        </is>
      </c>
      <c r="J14" s="7" t="inlineStr">
        <is>
          <t>O</t>
        </is>
      </c>
      <c r="K14" s="7" t="n"/>
      <c r="L14" s="7" t="n"/>
      <c r="M14" s="7" t="inlineStr">
        <is>
          <t>O</t>
        </is>
      </c>
      <c r="N14" s="7" t="inlineStr">
        <is>
          <t>O</t>
        </is>
      </c>
    </row>
    <row r="15" ht="22" customHeight="1">
      <c r="A15" s="22" t="n"/>
      <c r="B15" s="23" t="inlineStr">
        <is>
          <t>Kịch bản kích hoạt</t>
        </is>
      </c>
      <c r="C15" s="22" t="n"/>
      <c r="D15" s="22" t="n"/>
      <c r="E15" s="22" t="n"/>
      <c r="F15" s="22" t="n"/>
      <c r="G15" s="22" t="n"/>
      <c r="H15" s="22" t="n"/>
      <c r="I15" s="22" t="n"/>
      <c r="J15" s="22" t="n"/>
      <c r="K15" s="22" t="n"/>
      <c r="L15" s="22" t="n"/>
      <c r="M15" s="22" t="n"/>
      <c r="N15" s="22" t="n"/>
    </row>
    <row r="16" ht="21" customHeight="1">
      <c r="A16" s="11" t="n"/>
      <c r="B16" s="11" t="n"/>
      <c r="C16" s="11" t="n"/>
      <c r="D16" s="4" t="inlineStr">
        <is>
          <t>Sinh mật khẩu đơn lẻ</t>
        </is>
      </c>
      <c r="E16" s="7" t="inlineStr">
        <is>
          <t>O</t>
        </is>
      </c>
      <c r="F16" s="7" t="inlineStr">
        <is>
          <t>O</t>
        </is>
      </c>
      <c r="G16" s="7" t="inlineStr">
        <is>
          <t>O</t>
        </is>
      </c>
      <c r="H16" s="7" t="n"/>
      <c r="I16" s="7" t="n"/>
      <c r="J16" s="7" t="n"/>
      <c r="K16" s="7" t="n"/>
      <c r="L16" s="7" t="n"/>
      <c r="M16" s="7" t="n"/>
      <c r="N16" s="7" t="n"/>
    </row>
    <row r="17" ht="21" customHeight="1">
      <c r="A17" s="11" t="n"/>
      <c r="B17" s="11" t="n"/>
      <c r="C17" s="11" t="n"/>
      <c r="D17" s="4" t="inlineStr">
        <is>
          <t>50 lần sinh liên tiếp</t>
        </is>
      </c>
      <c r="E17" s="7" t="n"/>
      <c r="F17" s="7" t="n"/>
      <c r="G17" s="7" t="n"/>
      <c r="H17" s="7" t="inlineStr">
        <is>
          <t>O</t>
        </is>
      </c>
      <c r="I17" s="7" t="n"/>
      <c r="J17" s="7" t="n"/>
      <c r="K17" s="7" t="n"/>
      <c r="L17" s="7" t="n"/>
      <c r="M17" s="7" t="n"/>
      <c r="N17" s="7" t="n"/>
    </row>
    <row r="18" ht="21" customHeight="1">
      <c r="A18" s="11" t="n"/>
      <c r="B18" s="11" t="n"/>
      <c r="C18" s="11" t="n"/>
      <c r="D18" s="4" t="inlineStr">
        <is>
          <t>Thu hồi nick chuyển trạng thái available</t>
        </is>
      </c>
      <c r="E18" s="7" t="n"/>
      <c r="F18" s="7" t="n"/>
      <c r="G18" s="7" t="n"/>
      <c r="H18" s="7" t="n"/>
      <c r="I18" s="7" t="inlineStr">
        <is>
          <t>O</t>
        </is>
      </c>
      <c r="J18" s="7" t="n"/>
      <c r="K18" s="7" t="n"/>
      <c r="L18" s="7" t="n"/>
      <c r="M18" s="7" t="n"/>
      <c r="N18" s="7" t="n"/>
    </row>
    <row r="19" ht="21" customHeight="1">
      <c r="A19" s="11" t="n"/>
      <c r="B19" s="11" t="n"/>
      <c r="C19" s="11" t="n"/>
      <c r="D19" s="4" t="inlineStr">
        <is>
          <t>Kiểm tra toàn bộ kho acc</t>
        </is>
      </c>
      <c r="E19" s="7" t="n"/>
      <c r="F19" s="7" t="n"/>
      <c r="G19" s="7" t="n"/>
      <c r="H19" s="7" t="n"/>
      <c r="I19" s="7" t="n"/>
      <c r="J19" s="7" t="inlineStr">
        <is>
          <t>O</t>
        </is>
      </c>
      <c r="K19" s="7" t="n"/>
      <c r="L19" s="7" t="n"/>
      <c r="M19" s="7" t="n"/>
      <c r="N19" s="7" t="n"/>
    </row>
    <row r="20" ht="21" customHeight="1">
      <c r="A20" s="11" t="n"/>
      <c r="B20" s="11" t="n"/>
      <c r="C20" s="11" t="n"/>
      <c r="D20" s="4" t="inlineStr">
        <is>
          <t>Lưu vết lịch sử mật khẩu</t>
        </is>
      </c>
      <c r="E20" s="7" t="n"/>
      <c r="F20" s="7" t="n"/>
      <c r="G20" s="7" t="n"/>
      <c r="H20" s="7" t="n"/>
      <c r="I20" s="7" t="n"/>
      <c r="J20" s="7" t="n"/>
      <c r="K20" s="7" t="inlineStr">
        <is>
          <t>O</t>
        </is>
      </c>
      <c r="L20" s="7" t="n"/>
      <c r="M20" s="7" t="n"/>
      <c r="N20" s="7" t="n"/>
    </row>
    <row r="21" ht="21" customHeight="1">
      <c r="A21" s="11" t="n"/>
      <c r="B21" s="11" t="n"/>
      <c r="C21" s="11" t="n"/>
      <c r="D21" s="4" t="inlineStr">
        <is>
          <t>Vô hiệu hóa mật khẩu cũ</t>
        </is>
      </c>
      <c r="E21" s="7" t="n"/>
      <c r="F21" s="7" t="n"/>
      <c r="G21" s="7" t="n"/>
      <c r="H21" s="7" t="n"/>
      <c r="I21" s="7" t="n"/>
      <c r="J21" s="7" t="n"/>
      <c r="K21" s="7" t="n"/>
      <c r="L21" s="7" t="inlineStr">
        <is>
          <t>O</t>
        </is>
      </c>
      <c r="M21" s="7" t="n"/>
      <c r="N21" s="7" t="n"/>
    </row>
    <row r="22" ht="21" customHeight="1">
      <c r="A22" s="11" t="n"/>
      <c r="B22" s="11" t="n"/>
      <c r="C22" s="11" t="n"/>
      <c r="D22" s="4" t="inlineStr">
        <is>
          <t>Tạo thông báo hết hạn ca thuê</t>
        </is>
      </c>
      <c r="E22" s="7" t="n"/>
      <c r="F22" s="7" t="n"/>
      <c r="G22" s="7" t="n"/>
      <c r="H22" s="7" t="n"/>
      <c r="I22" s="7" t="n"/>
      <c r="J22" s="7" t="n"/>
      <c r="K22" s="7" t="n"/>
      <c r="L22" s="7" t="n"/>
      <c r="M22" s="7" t="inlineStr">
        <is>
          <t>O</t>
        </is>
      </c>
      <c r="N22" s="7" t="n"/>
    </row>
    <row r="23" ht="21" customHeight="1">
      <c r="A23" s="11" t="n"/>
      <c r="B23" s="11" t="n"/>
      <c r="C23" s="11" t="n"/>
      <c r="D23" s="4" t="inlineStr">
        <is>
          <t>Vòng đời đọc/xóa thông báo chuông</t>
        </is>
      </c>
      <c r="E23" s="7" t="n"/>
      <c r="F23" s="7" t="n"/>
      <c r="G23" s="7" t="n"/>
      <c r="H23" s="7" t="n"/>
      <c r="I23" s="7" t="n"/>
      <c r="J23" s="7" t="n"/>
      <c r="K23" s="7" t="n"/>
      <c r="L23" s="7" t="n"/>
      <c r="M23" s="7" t="n"/>
      <c r="N23" s="7" t="inlineStr">
        <is>
          <t>O</t>
        </is>
      </c>
    </row>
    <row r="25" ht="24" customHeight="1">
      <c r="A25" s="6" t="inlineStr">
        <is>
          <t>Confirm</t>
        </is>
      </c>
      <c r="B25" s="6" t="inlineStr">
        <is>
          <t>Return / Exception</t>
        </is>
      </c>
      <c r="C25" s="6" t="n"/>
      <c r="D25" s="6" t="n"/>
      <c r="E25" s="6" t="n"/>
      <c r="F25" s="6" t="n"/>
      <c r="G25" s="6" t="n"/>
      <c r="H25" s="6" t="n"/>
      <c r="I25" s="6" t="n"/>
      <c r="J25" s="6" t="n"/>
      <c r="K25" s="6" t="n"/>
      <c r="L25" s="6" t="n"/>
      <c r="M25" s="6" t="n"/>
      <c r="N25" s="6" t="n"/>
    </row>
    <row r="26" ht="21" customHeight="1">
      <c r="A26" s="11" t="n"/>
      <c r="B26" s="11" t="n"/>
      <c r="C26" s="11" t="n"/>
      <c r="D26" s="4" t="inlineStr">
        <is>
          <t>Độ dài mật khẩu chuẩn 12-14 ký tự</t>
        </is>
      </c>
      <c r="E26" s="7" t="inlineStr">
        <is>
          <t>O</t>
        </is>
      </c>
      <c r="F26" s="7" t="n"/>
      <c r="G26" s="7" t="n"/>
      <c r="H26" s="7" t="n"/>
      <c r="I26" s="7" t="n"/>
      <c r="J26" s="7" t="n"/>
      <c r="K26" s="7" t="n"/>
      <c r="L26" s="7" t="n"/>
      <c r="M26" s="7" t="n"/>
      <c r="N26" s="7" t="n"/>
    </row>
    <row r="27" ht="21" customHeight="1">
      <c r="A27" s="11" t="n"/>
      <c r="B27" s="11" t="n"/>
      <c r="C27" s="11" t="n"/>
      <c r="D27" s="4" t="inlineStr">
        <is>
          <t>Chứa đầy đủ [A-Z], [a-z], [0-9], [@#!]</t>
        </is>
      </c>
      <c r="E27" s="7" t="n"/>
      <c r="F27" s="7" t="inlineStr">
        <is>
          <t>O</t>
        </is>
      </c>
      <c r="G27" s="7" t="n"/>
      <c r="H27" s="7" t="n"/>
      <c r="I27" s="7" t="n"/>
      <c r="J27" s="7" t="n"/>
      <c r="K27" s="7" t="n"/>
      <c r="L27" s="7" t="n"/>
      <c r="M27" s="7" t="n"/>
      <c r="N27" s="7" t="n"/>
    </row>
    <row r="28" ht="21" customHeight="1">
      <c r="A28" s="11" t="n"/>
      <c r="B28" s="11" t="n"/>
      <c r="C28" s="11" t="n"/>
      <c r="D28" s="4" t="inlineStr">
        <is>
          <t>newPassword !== oldPassword (không trùng)</t>
        </is>
      </c>
      <c r="E28" s="7" t="n"/>
      <c r="F28" s="7" t="n"/>
      <c r="G28" s="7" t="inlineStr">
        <is>
          <t>O</t>
        </is>
      </c>
      <c r="H28" s="7" t="n"/>
      <c r="I28" s="7" t="n"/>
      <c r="J28" s="7" t="n"/>
      <c r="K28" s="7" t="n"/>
      <c r="L28" s="7" t="n"/>
      <c r="M28" s="7" t="n"/>
      <c r="N28" s="7" t="n"/>
    </row>
    <row r="29" ht="21" customHeight="1">
      <c r="A29" s="11" t="n"/>
      <c r="B29" s="11" t="n"/>
      <c r="C29" s="11" t="n"/>
      <c r="D29" s="4" t="inlineStr">
        <is>
          <t>50 chuỗi mật khẩu hoàn toàn khác biệt</t>
        </is>
      </c>
      <c r="E29" s="7" t="n"/>
      <c r="F29" s="7" t="n"/>
      <c r="G29" s="7" t="n"/>
      <c r="H29" s="7" t="inlineStr">
        <is>
          <t>O</t>
        </is>
      </c>
      <c r="I29" s="7" t="n"/>
      <c r="J29" s="7" t="n"/>
      <c r="K29" s="7" t="n"/>
      <c r="L29" s="7" t="n"/>
      <c r="M29" s="7" t="n"/>
      <c r="N29" s="7" t="n"/>
    </row>
    <row r="30" ht="21" customHeight="1">
      <c r="A30" s="11" t="n"/>
      <c r="B30" s="11" t="n"/>
      <c r="C30" s="11" t="n"/>
      <c r="D30" s="4" t="inlineStr">
        <is>
          <t>Trạng thái acc chuyển sang 'available'</t>
        </is>
      </c>
      <c r="E30" s="7" t="n"/>
      <c r="F30" s="7" t="n"/>
      <c r="G30" s="7" t="n"/>
      <c r="H30" s="7" t="n"/>
      <c r="I30" s="7" t="inlineStr">
        <is>
          <t>O</t>
        </is>
      </c>
      <c r="J30" s="7" t="n"/>
      <c r="K30" s="7" t="n"/>
      <c r="L30" s="7" t="n"/>
      <c r="M30" s="7" t="n"/>
      <c r="N30" s="7" t="n"/>
    </row>
    <row r="31" ht="21" customHeight="1">
      <c r="A31" s="11" t="n"/>
      <c r="B31" s="11" t="n"/>
      <c r="C31" s="11" t="n"/>
      <c r="D31" s="4" t="inlineStr">
        <is>
          <t>secretAccount &amp; secretPassword hợp lệ</t>
        </is>
      </c>
      <c r="E31" s="7" t="n"/>
      <c r="F31" s="7" t="n"/>
      <c r="G31" s="7" t="n"/>
      <c r="H31" s="7" t="n"/>
      <c r="I31" s="7" t="n"/>
      <c r="J31" s="7" t="inlineStr">
        <is>
          <t>O</t>
        </is>
      </c>
      <c r="K31" s="7" t="n"/>
      <c r="L31" s="7" t="n"/>
      <c r="M31" s="7" t="n"/>
      <c r="N31" s="7" t="n"/>
    </row>
    <row r="32" ht="21" customHeight="1">
      <c r="A32" s="11" t="n"/>
      <c r="B32" s="11" t="n"/>
      <c r="C32" s="11" t="n"/>
      <c r="D32" s="4" t="inlineStr">
        <is>
          <t>Lưu vết lịch sử mật khẩu thành công</t>
        </is>
      </c>
      <c r="E32" s="7" t="n"/>
      <c r="F32" s="7" t="n"/>
      <c r="G32" s="7" t="n"/>
      <c r="H32" s="7" t="n"/>
      <c r="I32" s="7" t="n"/>
      <c r="J32" s="7" t="n"/>
      <c r="K32" s="7" t="inlineStr">
        <is>
          <t>O</t>
        </is>
      </c>
      <c r="L32" s="7" t="n"/>
      <c r="M32" s="7" t="n"/>
      <c r="N32" s="7" t="n"/>
    </row>
    <row r="33" ht="21" customHeight="1">
      <c r="A33" s="11" t="n"/>
      <c r="B33" s="11" t="n"/>
      <c r="C33" s="11" t="n"/>
      <c r="D33" s="4" t="inlineStr">
        <is>
          <t>Mật khẩu cũ bị vô hiệu hóa hoàn toàn</t>
        </is>
      </c>
      <c r="E33" s="7" t="n"/>
      <c r="F33" s="7" t="n"/>
      <c r="G33" s="7" t="n"/>
      <c r="H33" s="7" t="n"/>
      <c r="I33" s="7" t="n"/>
      <c r="J33" s="7" t="n"/>
      <c r="K33" s="7" t="n"/>
      <c r="L33" s="7" t="inlineStr">
        <is>
          <t>O</t>
        </is>
      </c>
      <c r="M33" s="7" t="n"/>
      <c r="N33" s="7" t="n"/>
    </row>
    <row r="34" ht="21" customHeight="1">
      <c r="A34" s="11" t="n"/>
      <c r="B34" s="11" t="n"/>
      <c r="C34" s="11" t="n"/>
      <c r="D34" s="4" t="inlineStr">
        <is>
          <t>Tự động tạo notification cho khách</t>
        </is>
      </c>
      <c r="E34" s="7" t="n"/>
      <c r="F34" s="7" t="n"/>
      <c r="G34" s="7" t="n"/>
      <c r="H34" s="7" t="n"/>
      <c r="I34" s="7" t="n"/>
      <c r="J34" s="7" t="n"/>
      <c r="K34" s="7" t="n"/>
      <c r="L34" s="7" t="n"/>
      <c r="M34" s="7" t="inlineStr">
        <is>
          <t>O</t>
        </is>
      </c>
      <c r="N34" s="7" t="n"/>
    </row>
    <row r="35" ht="21" customHeight="1">
      <c r="A35" s="11" t="n"/>
      <c r="B35" s="11" t="n"/>
      <c r="C35" s="11" t="n"/>
      <c r="D35" s="4" t="inlineStr">
        <is>
          <t>Đánh dấu đã đọc và xóa thông báo thành công</t>
        </is>
      </c>
      <c r="E35" s="7" t="n"/>
      <c r="F35" s="7" t="n"/>
      <c r="G35" s="7" t="n"/>
      <c r="H35" s="7" t="n"/>
      <c r="I35" s="7" t="n"/>
      <c r="J35" s="7" t="n"/>
      <c r="K35" s="7" t="n"/>
      <c r="L35" s="7" t="n"/>
      <c r="M35" s="7" t="n"/>
      <c r="N35" s="7" t="inlineStr">
        <is>
          <t>O</t>
        </is>
      </c>
    </row>
    <row r="37" ht="23" customHeight="1">
      <c r="A37" s="6" t="inlineStr">
        <is>
          <t>Result</t>
        </is>
      </c>
      <c r="B37" s="6" t="inlineStr">
        <is>
          <t>Type(N : Normal, A : Abnormal, B : Boundary)</t>
        </is>
      </c>
      <c r="C37" s="6" t="n"/>
      <c r="D37" s="6" t="n"/>
      <c r="E37" s="6" t="inlineStr">
        <is>
          <t>N</t>
        </is>
      </c>
      <c r="F37" s="6" t="inlineStr">
        <is>
          <t>N</t>
        </is>
      </c>
      <c r="G37" s="6" t="inlineStr">
        <is>
          <t>N</t>
        </is>
      </c>
      <c r="H37" s="6" t="inlineStr">
        <is>
          <t>N</t>
        </is>
      </c>
      <c r="I37" s="6" t="inlineStr">
        <is>
          <t>N</t>
        </is>
      </c>
      <c r="J37" s="6" t="inlineStr">
        <is>
          <t>N</t>
        </is>
      </c>
      <c r="K37" s="6" t="inlineStr">
        <is>
          <t>N</t>
        </is>
      </c>
      <c r="L37" s="6" t="inlineStr">
        <is>
          <t>A</t>
        </is>
      </c>
      <c r="M37" s="6" t="inlineStr">
        <is>
          <t>A</t>
        </is>
      </c>
      <c r="N37" s="6" t="inlineStr">
        <is>
          <t>A</t>
        </is>
      </c>
    </row>
    <row r="38" ht="23" customHeight="1">
      <c r="A38" s="11" t="n"/>
      <c r="B38" s="24" t="inlineStr">
        <is>
          <t>Passed/Failed</t>
        </is>
      </c>
      <c r="C38" s="11" t="n"/>
      <c r="D38" s="11" t="n"/>
      <c r="E38" s="25" t="inlineStr">
        <is>
          <t>P</t>
        </is>
      </c>
      <c r="F38" s="25" t="inlineStr">
        <is>
          <t>P</t>
        </is>
      </c>
      <c r="G38" s="25" t="inlineStr">
        <is>
          <t>P</t>
        </is>
      </c>
      <c r="H38" s="25" t="inlineStr">
        <is>
          <t>P</t>
        </is>
      </c>
      <c r="I38" s="25" t="inlineStr">
        <is>
          <t>P</t>
        </is>
      </c>
      <c r="J38" s="25" t="inlineStr">
        <is>
          <t>P</t>
        </is>
      </c>
      <c r="K38" s="25" t="inlineStr">
        <is>
          <t>P</t>
        </is>
      </c>
      <c r="L38" s="25" t="inlineStr">
        <is>
          <t>P</t>
        </is>
      </c>
      <c r="M38" s="25" t="inlineStr">
        <is>
          <t>P</t>
        </is>
      </c>
      <c r="N38" s="25" t="inlineStr">
        <is>
          <t>P</t>
        </is>
      </c>
    </row>
    <row r="39" ht="21" customHeight="1">
      <c r="A39" s="11" t="n"/>
      <c r="B39" s="14" t="inlineStr">
        <is>
          <t>Executed Date</t>
        </is>
      </c>
      <c r="C39" s="11" t="n"/>
      <c r="D39" s="11" t="n"/>
      <c r="E39" s="26" t="inlineStr">
        <is>
          <t>26/09/2026</t>
        </is>
      </c>
      <c r="F39" s="26" t="inlineStr">
        <is>
          <t>26/09/2026</t>
        </is>
      </c>
      <c r="G39" s="26" t="inlineStr">
        <is>
          <t>26/09/2026</t>
        </is>
      </c>
      <c r="H39" s="26" t="inlineStr">
        <is>
          <t>26/09/2026</t>
        </is>
      </c>
      <c r="I39" s="26" t="inlineStr">
        <is>
          <t>26/09/2026</t>
        </is>
      </c>
      <c r="J39" s="26" t="inlineStr">
        <is>
          <t>26/09/2026</t>
        </is>
      </c>
      <c r="K39" s="26" t="inlineStr">
        <is>
          <t>26/09/2026</t>
        </is>
      </c>
      <c r="L39" s="26" t="inlineStr">
        <is>
          <t>26/09/2026</t>
        </is>
      </c>
      <c r="M39" s="26" t="inlineStr">
        <is>
          <t>26/09/2026</t>
        </is>
      </c>
      <c r="N39" s="26" t="inlineStr">
        <is>
          <t>26/09/2026</t>
        </is>
      </c>
    </row>
    <row r="40" ht="21" customHeight="1">
      <c r="A40" s="11" t="n"/>
      <c r="B40" s="14" t="inlineStr">
        <is>
          <t>Defect ID</t>
        </is>
      </c>
      <c r="C40" s="11" t="n"/>
      <c r="D40" s="11" t="n"/>
      <c r="E40" s="27" t="inlineStr"/>
      <c r="F40" s="27" t="inlineStr"/>
      <c r="G40" s="27" t="inlineStr"/>
      <c r="H40" s="27" t="inlineStr"/>
      <c r="I40" s="27" t="inlineStr"/>
      <c r="J40" s="27" t="inlineStr"/>
      <c r="K40" s="27" t="inlineStr"/>
      <c r="L40" s="27" t="inlineStr"/>
      <c r="M40" s="27" t="inlineStr"/>
      <c r="N40" s="27"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2:N38"/>
  <sheetViews>
    <sheetView workbookViewId="0">
      <selection activeCell="A1" sqref="A1"/>
    </sheetView>
  </sheetViews>
  <sheetFormatPr baseColWidth="8" defaultRowHeight="15"/>
  <cols>
    <col width="12" customWidth="1" min="1" max="1"/>
    <col width="24" customWidth="1" min="2" max="2"/>
    <col width="12" customWidth="1" min="3" max="3"/>
    <col width="48"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s>
  <sheetData>
    <row r="2" ht="22" customHeight="1">
      <c r="A2" s="5" t="inlineStr">
        <is>
          <t>Function Code</t>
        </is>
      </c>
      <c r="C2" s="19" t="inlineStr">
        <is>
          <t>F_AUTH_CHG_PWD</t>
        </is>
      </c>
      <c r="E2" s="5" t="inlineStr">
        <is>
          <t>Function Name</t>
        </is>
      </c>
      <c r="G2" s="18" t="inlineStr">
        <is>
          <t>validatePasswordChange</t>
        </is>
      </c>
    </row>
    <row r="3" ht="22" customHeight="1">
      <c r="A3" s="5" t="inlineStr">
        <is>
          <t>Created By</t>
        </is>
      </c>
      <c r="C3" s="18" t="inlineStr">
        <is>
          <t>Nhóm 15</t>
        </is>
      </c>
      <c r="E3" s="5" t="inlineStr">
        <is>
          <t>Executed By</t>
        </is>
      </c>
      <c r="G3" s="18" t="inlineStr">
        <is>
          <t>Nhóm 15 (Automation)</t>
        </is>
      </c>
    </row>
    <row r="4" ht="22" customHeight="1">
      <c r="A4" s="5" t="inlineStr">
        <is>
          <t>Lines of code</t>
        </is>
      </c>
      <c r="C4" s="18" t="n">
        <v>26</v>
      </c>
    </row>
    <row r="5" ht="22" customHeight="1">
      <c r="A5" s="5" t="inlineStr">
        <is>
          <t>Test requirement</t>
        </is>
      </c>
      <c r="C5" s="18" t="inlineStr">
        <is>
          <t>Kiểm tra hợp lệ form đổi mật khẩu khách thuê (BVA 5-6 ký tự, mật khẩu cũ, khớp mật khẩu xác nhận)</t>
        </is>
      </c>
    </row>
    <row r="6" ht="22" customHeight="1">
      <c r="A6" s="6" t="inlineStr">
        <is>
          <t>Passed</t>
        </is>
      </c>
      <c r="C6" s="6" t="inlineStr">
        <is>
          <t>Failed</t>
        </is>
      </c>
      <c r="E6" s="6" t="inlineStr">
        <is>
          <t>Untested</t>
        </is>
      </c>
      <c r="K6" s="6" t="inlineStr">
        <is>
          <t>N</t>
        </is>
      </c>
      <c r="L6" s="6" t="inlineStr">
        <is>
          <t>A</t>
        </is>
      </c>
      <c r="M6" s="6" t="inlineStr">
        <is>
          <t>B</t>
        </is>
      </c>
      <c r="N6" s="6" t="inlineStr">
        <is>
          <t>Total Test Cases</t>
        </is>
      </c>
    </row>
    <row r="7" ht="24" customHeight="1">
      <c r="A7" s="20">
        <f>COUNTIF(E36:L36,"P")</f>
        <v/>
      </c>
      <c r="C7" s="20">
        <f>COUNTIF(E36:L36,"F")</f>
        <v/>
      </c>
      <c r="E7" s="20">
        <f>SUM(N7,-A7,-C7)</f>
        <v/>
      </c>
      <c r="K7" s="20">
        <f>COUNTIF(E35:L35,"N")</f>
        <v/>
      </c>
      <c r="L7" s="20">
        <f>COUNTIF(E35:L35,"A")</f>
        <v/>
      </c>
      <c r="M7" s="20">
        <f>COUNTIF(E35:L35,"B")</f>
        <v/>
      </c>
      <c r="N7" s="20">
        <f>COUNTA(E9:L9)</f>
        <v/>
      </c>
    </row>
    <row r="9" ht="24" customHeight="1">
      <c r="E9" s="6" t="inlineStr">
        <is>
          <t>UTCID01</t>
        </is>
      </c>
      <c r="F9" s="6" t="inlineStr">
        <is>
          <t>UTCID02</t>
        </is>
      </c>
      <c r="G9" s="6" t="inlineStr">
        <is>
          <t>UTCID03</t>
        </is>
      </c>
      <c r="H9" s="6" t="inlineStr">
        <is>
          <t>UTCID04</t>
        </is>
      </c>
      <c r="I9" s="6" t="inlineStr">
        <is>
          <t>UTCID05</t>
        </is>
      </c>
      <c r="J9" s="6" t="inlineStr">
        <is>
          <t>UTCID06</t>
        </is>
      </c>
      <c r="K9" s="6" t="inlineStr">
        <is>
          <t>UTCID07</t>
        </is>
      </c>
      <c r="L9" s="6" t="inlineStr">
        <is>
          <t>UTCID08</t>
        </is>
      </c>
    </row>
    <row r="10" ht="22" customHeight="1">
      <c r="A10" s="6" t="inlineStr">
        <is>
          <t>Condition</t>
        </is>
      </c>
      <c r="B10" s="6" t="inlineStr">
        <is>
          <t>Precondition</t>
        </is>
      </c>
      <c r="D10" s="6" t="inlineStr">
        <is>
          <t>N/A</t>
        </is>
      </c>
      <c r="E10" s="21" t="n"/>
      <c r="F10" s="21" t="n"/>
      <c r="G10" s="21" t="n"/>
      <c r="H10" s="21" t="n"/>
      <c r="I10" s="21" t="n"/>
      <c r="J10" s="21" t="n"/>
      <c r="K10" s="21" t="n"/>
      <c r="L10" s="21" t="n"/>
    </row>
    <row r="12" ht="22" customHeight="1">
      <c r="A12" s="22" t="n"/>
      <c r="B12" s="23" t="inlineStr">
        <is>
          <t>User đăng nhập</t>
        </is>
      </c>
      <c r="C12" s="22" t="n"/>
      <c r="D12" s="22" t="n"/>
      <c r="E12" s="22" t="n"/>
      <c r="F12" s="22" t="n"/>
      <c r="G12" s="22" t="n"/>
      <c r="H12" s="22" t="n"/>
      <c r="I12" s="22" t="n"/>
      <c r="J12" s="22" t="n"/>
      <c r="K12" s="22" t="n"/>
      <c r="L12" s="22" t="n"/>
    </row>
    <row r="13" ht="21" customHeight="1">
      <c r="A13" s="11" t="n"/>
      <c r="B13" s="11" t="n"/>
      <c r="C13" s="11" t="n"/>
      <c r="D13" s="4" t="inlineStr">
        <is>
          <t>Hợp lệ (user != null)</t>
        </is>
      </c>
      <c r="E13" s="7" t="inlineStr">
        <is>
          <t>O</t>
        </is>
      </c>
      <c r="F13" s="7" t="inlineStr">
        <is>
          <t>O</t>
        </is>
      </c>
      <c r="G13" s="7" t="inlineStr">
        <is>
          <t>O</t>
        </is>
      </c>
      <c r="H13" s="7" t="inlineStr">
        <is>
          <t>O</t>
        </is>
      </c>
      <c r="I13" s="7" t="inlineStr">
        <is>
          <t>O</t>
        </is>
      </c>
      <c r="J13" s="7" t="inlineStr">
        <is>
          <t>O</t>
        </is>
      </c>
      <c r="K13" s="7" t="inlineStr">
        <is>
          <t>O</t>
        </is>
      </c>
      <c r="L13" s="7" t="n"/>
    </row>
    <row r="14" ht="21" customHeight="1">
      <c r="A14" s="11" t="n"/>
      <c r="B14" s="11" t="n"/>
      <c r="C14" s="11" t="n"/>
      <c r="D14" s="4" t="inlineStr">
        <is>
          <t>Chưa đăng nhập (user = null)</t>
        </is>
      </c>
      <c r="E14" s="7" t="n"/>
      <c r="F14" s="7" t="n"/>
      <c r="G14" s="7" t="n"/>
      <c r="H14" s="7" t="n"/>
      <c r="I14" s="7" t="n"/>
      <c r="J14" s="7" t="n"/>
      <c r="K14" s="7" t="n"/>
      <c r="L14" s="7" t="inlineStr">
        <is>
          <t>O</t>
        </is>
      </c>
    </row>
    <row r="15" ht="22" customHeight="1">
      <c r="A15" s="22" t="n"/>
      <c r="B15" s="23" t="inlineStr">
        <is>
          <t>Mật khẩu hiện tại</t>
        </is>
      </c>
      <c r="C15" s="22" t="n"/>
      <c r="D15" s="22" t="n"/>
      <c r="E15" s="22" t="n"/>
      <c r="F15" s="22" t="n"/>
      <c r="G15" s="22" t="n"/>
      <c r="H15" s="22" t="n"/>
      <c r="I15" s="22" t="n"/>
      <c r="J15" s="22" t="n"/>
      <c r="K15" s="22" t="n"/>
      <c r="L15" s="22" t="n"/>
    </row>
    <row r="16" ht="21" customHeight="1">
      <c r="A16" s="11" t="n"/>
      <c r="B16" s="11" t="n"/>
      <c r="C16" s="11" t="n"/>
      <c r="D16" s="4" t="inlineStr">
        <is>
          <t>Đúng mật khẩu ('123456')</t>
        </is>
      </c>
      <c r="E16" s="7" t="inlineStr">
        <is>
          <t>O</t>
        </is>
      </c>
      <c r="F16" s="7" t="inlineStr">
        <is>
          <t>O</t>
        </is>
      </c>
      <c r="G16" s="7" t="inlineStr">
        <is>
          <t>O</t>
        </is>
      </c>
      <c r="H16" s="7" t="n"/>
      <c r="I16" s="7" t="inlineStr">
        <is>
          <t>O</t>
        </is>
      </c>
      <c r="J16" s="7" t="inlineStr">
        <is>
          <t>O</t>
        </is>
      </c>
      <c r="K16" s="7" t="n"/>
      <c r="L16" s="7" t="n"/>
    </row>
    <row r="17" ht="21" customHeight="1">
      <c r="A17" s="11" t="n"/>
      <c r="B17" s="11" t="n"/>
      <c r="C17" s="11" t="n"/>
      <c r="D17" s="4" t="inlineStr">
        <is>
          <t>Sai mật khẩu ('wrongpass')</t>
        </is>
      </c>
      <c r="E17" s="7" t="n"/>
      <c r="F17" s="7" t="n"/>
      <c r="G17" s="7" t="n"/>
      <c r="H17" s="7" t="inlineStr">
        <is>
          <t>O</t>
        </is>
      </c>
      <c r="I17" s="7" t="n"/>
      <c r="J17" s="7" t="n"/>
      <c r="K17" s="7" t="n"/>
      <c r="L17" s="7" t="n"/>
    </row>
    <row r="18" ht="21" customHeight="1">
      <c r="A18" s="11" t="n"/>
      <c r="B18" s="11" t="n"/>
      <c r="C18" s="11" t="n"/>
      <c r="D18" s="4" t="inlineStr">
        <is>
          <t>Để trống ('')</t>
        </is>
      </c>
      <c r="E18" s="7" t="n"/>
      <c r="F18" s="7" t="n"/>
      <c r="G18" s="7" t="n"/>
      <c r="H18" s="7" t="n"/>
      <c r="I18" s="7" t="n"/>
      <c r="J18" s="7" t="n"/>
      <c r="K18" s="7" t="inlineStr">
        <is>
          <t>O</t>
        </is>
      </c>
      <c r="L18" s="7" t="n"/>
    </row>
    <row r="19" ht="22" customHeight="1">
      <c r="A19" s="22" t="n"/>
      <c r="B19" s="23" t="inlineStr">
        <is>
          <t>Mật khẩu mới</t>
        </is>
      </c>
      <c r="C19" s="22" t="n"/>
      <c r="D19" s="22" t="n"/>
      <c r="E19" s="22" t="n"/>
      <c r="F19" s="22" t="n"/>
      <c r="G19" s="22" t="n"/>
      <c r="H19" s="22" t="n"/>
      <c r="I19" s="22" t="n"/>
      <c r="J19" s="22" t="n"/>
      <c r="K19" s="22" t="n"/>
      <c r="L19" s="22" t="n"/>
    </row>
    <row r="20" ht="21" customHeight="1">
      <c r="A20" s="11" t="n"/>
      <c r="B20" s="11" t="n"/>
      <c r="C20" s="11" t="n"/>
      <c r="D20" s="4" t="inlineStr">
        <is>
          <t>Hợp lệ ('newpass123')</t>
        </is>
      </c>
      <c r="E20" s="7" t="inlineStr">
        <is>
          <t>O</t>
        </is>
      </c>
      <c r="F20" s="7" t="n"/>
      <c r="G20" s="7" t="n"/>
      <c r="H20" s="7" t="inlineStr">
        <is>
          <t>O</t>
        </is>
      </c>
      <c r="I20" s="7" t="n"/>
      <c r="J20" s="7" t="n"/>
      <c r="K20" s="7" t="inlineStr">
        <is>
          <t>O</t>
        </is>
      </c>
      <c r="L20" s="7" t="inlineStr">
        <is>
          <t>O</t>
        </is>
      </c>
    </row>
    <row r="21" ht="21" customHeight="1">
      <c r="A21" s="11" t="n"/>
      <c r="B21" s="11" t="n"/>
      <c r="C21" s="11" t="n"/>
      <c r="D21" s="4" t="inlineStr">
        <is>
          <t>5 ký tự (Dưới biên min 6)</t>
        </is>
      </c>
      <c r="E21" s="7" t="n"/>
      <c r="F21" s="7" t="inlineStr">
        <is>
          <t>O</t>
        </is>
      </c>
      <c r="G21" s="7" t="n"/>
      <c r="H21" s="7" t="n"/>
      <c r="I21" s="7" t="n"/>
      <c r="J21" s="7" t="n"/>
      <c r="K21" s="7" t="n"/>
      <c r="L21" s="7" t="n"/>
    </row>
    <row r="22" ht="21" customHeight="1">
      <c r="A22" s="11" t="n"/>
      <c r="B22" s="11" t="n"/>
      <c r="C22" s="11" t="n"/>
      <c r="D22" s="4" t="inlineStr">
        <is>
          <t>6 ký tự (Tại biên min hợp lệ)</t>
        </is>
      </c>
      <c r="E22" s="7" t="n"/>
      <c r="F22" s="7" t="n"/>
      <c r="G22" s="7" t="inlineStr">
        <is>
          <t>O</t>
        </is>
      </c>
      <c r="H22" s="7" t="n"/>
      <c r="I22" s="7" t="n"/>
      <c r="J22" s="7" t="n"/>
      <c r="K22" s="7" t="n"/>
      <c r="L22" s="7" t="n"/>
    </row>
    <row r="23" ht="21" customHeight="1">
      <c r="A23" s="11" t="n"/>
      <c r="B23" s="11" t="n"/>
      <c r="C23" s="11" t="n"/>
      <c r="D23" s="4" t="inlineStr">
        <is>
          <t>Trùng mật khẩu cũ ('123456')</t>
        </is>
      </c>
      <c r="E23" s="7" t="n"/>
      <c r="F23" s="7" t="n"/>
      <c r="G23" s="7" t="n"/>
      <c r="H23" s="7" t="n"/>
      <c r="I23" s="7" t="inlineStr">
        <is>
          <t>O</t>
        </is>
      </c>
      <c r="J23" s="7" t="n"/>
      <c r="K23" s="7" t="n"/>
      <c r="L23" s="7" t="n"/>
    </row>
    <row r="24" ht="21" customHeight="1">
      <c r="A24" s="11" t="n"/>
      <c r="B24" s="11" t="n"/>
      <c r="C24" s="11" t="n"/>
      <c r="D24" s="4" t="inlineStr">
        <is>
          <t>Không khớp mật khẩu xác nhận</t>
        </is>
      </c>
      <c r="E24" s="7" t="n"/>
      <c r="F24" s="7" t="n"/>
      <c r="G24" s="7" t="n"/>
      <c r="H24" s="7" t="n"/>
      <c r="I24" s="7" t="n"/>
      <c r="J24" s="7" t="inlineStr">
        <is>
          <t>O</t>
        </is>
      </c>
      <c r="K24" s="7" t="n"/>
      <c r="L24" s="7" t="n"/>
    </row>
    <row r="26" ht="24" customHeight="1">
      <c r="A26" s="6" t="inlineStr">
        <is>
          <t>Confirm</t>
        </is>
      </c>
      <c r="B26" s="6" t="inlineStr">
        <is>
          <t>Return / Exception</t>
        </is>
      </c>
      <c r="C26" s="6" t="n"/>
      <c r="D26" s="6" t="n"/>
      <c r="E26" s="6" t="n"/>
      <c r="F26" s="6" t="n"/>
      <c r="G26" s="6" t="n"/>
      <c r="H26" s="6" t="n"/>
      <c r="I26" s="6" t="n"/>
      <c r="J26" s="6" t="n"/>
      <c r="K26" s="6" t="n"/>
      <c r="L26" s="6" t="n"/>
    </row>
    <row r="27" ht="21" customHeight="1">
      <c r="A27" s="11" t="n"/>
      <c r="B27" s="11" t="n"/>
      <c r="C27" s="11" t="n"/>
      <c r="D27" s="4" t="inlineStr">
        <is>
          <t>success = true (Đổi mật khẩu thành công)</t>
        </is>
      </c>
      <c r="E27" s="7" t="inlineStr">
        <is>
          <t>O</t>
        </is>
      </c>
      <c r="F27" s="7" t="n"/>
      <c r="G27" s="7" t="inlineStr">
        <is>
          <t>O</t>
        </is>
      </c>
      <c r="H27" s="7" t="n"/>
      <c r="I27" s="7" t="n"/>
      <c r="J27" s="7" t="n"/>
      <c r="K27" s="7" t="n"/>
      <c r="L27" s="7" t="n"/>
    </row>
    <row r="28" ht="21" customHeight="1">
      <c r="A28" s="11" t="n"/>
      <c r="B28" s="11" t="n"/>
      <c r="C28" s="11" t="n"/>
      <c r="D28" s="4" t="inlineStr">
        <is>
          <t>error = 'Mật khẩu mới phải có ít nhất 6 ký tự'</t>
        </is>
      </c>
      <c r="E28" s="7" t="n"/>
      <c r="F28" s="7" t="inlineStr">
        <is>
          <t>O</t>
        </is>
      </c>
      <c r="G28" s="7" t="n"/>
      <c r="H28" s="7" t="n"/>
      <c r="I28" s="7" t="n"/>
      <c r="J28" s="7" t="n"/>
      <c r="K28" s="7" t="n"/>
      <c r="L28" s="7" t="n"/>
    </row>
    <row r="29" ht="21" customHeight="1">
      <c r="A29" s="11" t="n"/>
      <c r="B29" s="11" t="n"/>
      <c r="C29" s="11" t="n"/>
      <c r="D29" s="4" t="inlineStr">
        <is>
          <t>error = 'Mật khẩu hiện tại không chính xác'</t>
        </is>
      </c>
      <c r="E29" s="7" t="n"/>
      <c r="F29" s="7" t="n"/>
      <c r="G29" s="7" t="n"/>
      <c r="H29" s="7" t="inlineStr">
        <is>
          <t>O</t>
        </is>
      </c>
      <c r="I29" s="7" t="n"/>
      <c r="J29" s="7" t="n"/>
      <c r="K29" s="7" t="n"/>
      <c r="L29" s="7" t="n"/>
    </row>
    <row r="30" ht="21" customHeight="1">
      <c r="A30" s="11" t="n"/>
      <c r="B30" s="11" t="n"/>
      <c r="C30" s="11" t="n"/>
      <c r="D30" s="4" t="inlineStr">
        <is>
          <t>error = 'Mật khẩu mới không được trùng mật khẩu cũ'</t>
        </is>
      </c>
      <c r="E30" s="7" t="n"/>
      <c r="F30" s="7" t="n"/>
      <c r="G30" s="7" t="n"/>
      <c r="H30" s="7" t="n"/>
      <c r="I30" s="7" t="inlineStr">
        <is>
          <t>O</t>
        </is>
      </c>
      <c r="J30" s="7" t="n"/>
      <c r="K30" s="7" t="n"/>
      <c r="L30" s="7" t="n"/>
    </row>
    <row r="31" ht="21" customHeight="1">
      <c r="A31" s="11" t="n"/>
      <c r="B31" s="11" t="n"/>
      <c r="C31" s="11" t="n"/>
      <c r="D31" s="4" t="inlineStr">
        <is>
          <t>error = 'Mật khẩu xác nhận không khớp'</t>
        </is>
      </c>
      <c r="E31" s="7" t="n"/>
      <c r="F31" s="7" t="n"/>
      <c r="G31" s="7" t="n"/>
      <c r="H31" s="7" t="n"/>
      <c r="I31" s="7" t="n"/>
      <c r="J31" s="7" t="inlineStr">
        <is>
          <t>O</t>
        </is>
      </c>
      <c r="K31" s="7" t="n"/>
      <c r="L31" s="7" t="n"/>
    </row>
    <row r="32" ht="21" customHeight="1">
      <c r="A32" s="11" t="n"/>
      <c r="B32" s="11" t="n"/>
      <c r="C32" s="11" t="n"/>
      <c r="D32" s="4" t="inlineStr">
        <is>
          <t>error = 'Vui lòng nhập mật khẩu hiện tại'</t>
        </is>
      </c>
      <c r="E32" s="7" t="n"/>
      <c r="F32" s="7" t="n"/>
      <c r="G32" s="7" t="n"/>
      <c r="H32" s="7" t="n"/>
      <c r="I32" s="7" t="n"/>
      <c r="J32" s="7" t="n"/>
      <c r="K32" s="7" t="inlineStr">
        <is>
          <t>O</t>
        </is>
      </c>
      <c r="L32" s="7" t="n"/>
    </row>
    <row r="33" ht="21" customHeight="1">
      <c r="A33" s="11" t="n"/>
      <c r="B33" s="11" t="n"/>
      <c r="C33" s="11" t="n"/>
      <c r="D33" s="4" t="inlineStr">
        <is>
          <t>error = 'Bạn chưa đăng nhập'</t>
        </is>
      </c>
      <c r="E33" s="7" t="n"/>
      <c r="F33" s="7" t="n"/>
      <c r="G33" s="7" t="n"/>
      <c r="H33" s="7" t="n"/>
      <c r="I33" s="7" t="n"/>
      <c r="J33" s="7" t="n"/>
      <c r="K33" s="7" t="n"/>
      <c r="L33" s="7" t="inlineStr">
        <is>
          <t>O</t>
        </is>
      </c>
    </row>
    <row r="35" ht="23" customHeight="1">
      <c r="A35" s="6" t="inlineStr">
        <is>
          <t>Result</t>
        </is>
      </c>
      <c r="B35" s="6" t="inlineStr">
        <is>
          <t>Type(N : Normal, A : Abnormal, B : Boundary)</t>
        </is>
      </c>
      <c r="C35" s="6" t="n"/>
      <c r="D35" s="6" t="n"/>
      <c r="E35" s="6" t="inlineStr">
        <is>
          <t>N</t>
        </is>
      </c>
      <c r="F35" s="6" t="inlineStr">
        <is>
          <t>B</t>
        </is>
      </c>
      <c r="G35" s="6" t="inlineStr">
        <is>
          <t>B</t>
        </is>
      </c>
      <c r="H35" s="6" t="inlineStr">
        <is>
          <t>A</t>
        </is>
      </c>
      <c r="I35" s="6" t="inlineStr">
        <is>
          <t>A</t>
        </is>
      </c>
      <c r="J35" s="6" t="inlineStr">
        <is>
          <t>A</t>
        </is>
      </c>
      <c r="K35" s="6" t="inlineStr">
        <is>
          <t>A</t>
        </is>
      </c>
      <c r="L35" s="6" t="inlineStr">
        <is>
          <t>A</t>
        </is>
      </c>
    </row>
    <row r="36" ht="23" customHeight="1">
      <c r="A36" s="11" t="n"/>
      <c r="B36" s="24" t="inlineStr">
        <is>
          <t>Passed/Failed</t>
        </is>
      </c>
      <c r="C36" s="11" t="n"/>
      <c r="D36" s="11" t="n"/>
      <c r="E36" s="25" t="inlineStr">
        <is>
          <t>P</t>
        </is>
      </c>
      <c r="F36" s="25" t="inlineStr">
        <is>
          <t>P</t>
        </is>
      </c>
      <c r="G36" s="25" t="inlineStr">
        <is>
          <t>P</t>
        </is>
      </c>
      <c r="H36" s="25" t="inlineStr">
        <is>
          <t>P</t>
        </is>
      </c>
      <c r="I36" s="25" t="inlineStr">
        <is>
          <t>P</t>
        </is>
      </c>
      <c r="J36" s="25" t="inlineStr">
        <is>
          <t>P</t>
        </is>
      </c>
      <c r="K36" s="25" t="inlineStr">
        <is>
          <t>P</t>
        </is>
      </c>
      <c r="L36" s="25" t="inlineStr">
        <is>
          <t>P</t>
        </is>
      </c>
    </row>
    <row r="37" ht="21" customHeight="1">
      <c r="A37" s="11" t="n"/>
      <c r="B37" s="14" t="inlineStr">
        <is>
          <t>Executed Date</t>
        </is>
      </c>
      <c r="C37" s="11" t="n"/>
      <c r="D37" s="11" t="n"/>
      <c r="E37" s="26" t="inlineStr">
        <is>
          <t>26/09/2026</t>
        </is>
      </c>
      <c r="F37" s="26" t="inlineStr">
        <is>
          <t>26/09/2026</t>
        </is>
      </c>
      <c r="G37" s="26" t="inlineStr">
        <is>
          <t>26/09/2026</t>
        </is>
      </c>
      <c r="H37" s="26" t="inlineStr">
        <is>
          <t>26/09/2026</t>
        </is>
      </c>
      <c r="I37" s="26" t="inlineStr">
        <is>
          <t>26/09/2026</t>
        </is>
      </c>
      <c r="J37" s="26" t="inlineStr">
        <is>
          <t>26/09/2026</t>
        </is>
      </c>
      <c r="K37" s="26" t="inlineStr">
        <is>
          <t>26/09/2026</t>
        </is>
      </c>
      <c r="L37" s="26" t="inlineStr">
        <is>
          <t>26/09/2026</t>
        </is>
      </c>
    </row>
    <row r="38" ht="21" customHeight="1">
      <c r="A38" s="11" t="n"/>
      <c r="B38" s="14" t="inlineStr">
        <is>
          <t>Defect ID</t>
        </is>
      </c>
      <c r="C38" s="11" t="n"/>
      <c r="D38" s="11" t="n"/>
      <c r="E38" s="27" t="inlineStr"/>
      <c r="F38" s="27" t="inlineStr"/>
      <c r="G38" s="27" t="inlineStr"/>
      <c r="H38" s="27" t="inlineStr"/>
      <c r="I38" s="27" t="inlineStr"/>
      <c r="J38" s="27" t="inlineStr"/>
      <c r="K38" s="27" t="inlineStr"/>
      <c r="L38" s="27"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2:N29"/>
  <sheetViews>
    <sheetView workbookViewId="0">
      <selection activeCell="A1" sqref="A1"/>
    </sheetView>
  </sheetViews>
  <sheetFormatPr baseColWidth="8" defaultRowHeight="15"/>
  <cols>
    <col width="12" customWidth="1" min="1" max="1"/>
    <col width="24" customWidth="1" min="2" max="2"/>
    <col width="12" customWidth="1" min="3" max="3"/>
    <col width="48" customWidth="1" min="4" max="4"/>
    <col width="9.5" customWidth="1" min="5" max="5"/>
    <col width="9.5" customWidth="1" min="6" max="6"/>
    <col width="9.5" customWidth="1" min="7" max="7"/>
    <col width="9.5" customWidth="1" min="8" max="8"/>
    <col width="9.5" customWidth="1" min="9" max="9"/>
  </cols>
  <sheetData>
    <row r="2" ht="22" customHeight="1">
      <c r="A2" s="5" t="inlineStr">
        <is>
          <t>Function Code</t>
        </is>
      </c>
      <c r="C2" s="19" t="inlineStr">
        <is>
          <t>F_CRM_SYNC</t>
        </is>
      </c>
      <c r="E2" s="5" t="inlineStr">
        <is>
          <t>Function Name</t>
        </is>
      </c>
      <c r="G2" s="18" t="inlineStr">
        <is>
          <t>crudAndAutoSyncCRM</t>
        </is>
      </c>
    </row>
    <row r="3" ht="22" customHeight="1">
      <c r="A3" s="5" t="inlineStr">
        <is>
          <t>Created By</t>
        </is>
      </c>
      <c r="C3" s="18" t="inlineStr">
        <is>
          <t>Nhóm 15</t>
        </is>
      </c>
      <c r="E3" s="5" t="inlineStr">
        <is>
          <t>Executed By</t>
        </is>
      </c>
      <c r="G3" s="18" t="inlineStr">
        <is>
          <t>Nhóm 15 (Automation)</t>
        </is>
      </c>
    </row>
    <row r="4" ht="22" customHeight="1">
      <c r="A4" s="5" t="inlineStr">
        <is>
          <t>Lines of code</t>
        </is>
      </c>
      <c r="C4" s="18" t="n">
        <v>35</v>
      </c>
    </row>
    <row r="5" ht="22" customHeight="1">
      <c r="A5" s="5" t="inlineStr">
        <is>
          <t>Test requirement</t>
        </is>
      </c>
      <c r="C5" s="18" t="inlineStr">
        <is>
          <t>Thao tác CRUD hồ sơ khách hàng và tự động đồng bộ khách mới khi đăng ký</t>
        </is>
      </c>
    </row>
    <row r="6" ht="22" customHeight="1">
      <c r="A6" s="6" t="inlineStr">
        <is>
          <t>Passed</t>
        </is>
      </c>
      <c r="C6" s="6" t="inlineStr">
        <is>
          <t>Failed</t>
        </is>
      </c>
      <c r="E6" s="6" t="inlineStr">
        <is>
          <t>Untested</t>
        </is>
      </c>
      <c r="K6" s="6" t="inlineStr">
        <is>
          <t>N</t>
        </is>
      </c>
      <c r="L6" s="6" t="inlineStr">
        <is>
          <t>A</t>
        </is>
      </c>
      <c r="M6" s="6" t="inlineStr">
        <is>
          <t>B</t>
        </is>
      </c>
      <c r="N6" s="6" t="inlineStr">
        <is>
          <t>Total Test Cases</t>
        </is>
      </c>
    </row>
    <row r="7" ht="24" customHeight="1">
      <c r="A7" s="20">
        <f>COUNTIF(E27:I27,"P")</f>
        <v/>
      </c>
      <c r="C7" s="20">
        <f>COUNTIF(E27:I27,"F")</f>
        <v/>
      </c>
      <c r="E7" s="20">
        <f>SUM(N7,-A7,-C7)</f>
        <v/>
      </c>
      <c r="K7" s="20">
        <f>COUNTIF(E26:I26,"N")</f>
        <v/>
      </c>
      <c r="L7" s="20">
        <f>COUNTIF(E26:I26,"A")</f>
        <v/>
      </c>
      <c r="M7" s="20">
        <f>COUNTIF(E26:I26,"B")</f>
        <v/>
      </c>
      <c r="N7" s="20">
        <f>COUNTA(E9:I9)</f>
        <v/>
      </c>
    </row>
    <row r="9" ht="24" customHeight="1">
      <c r="E9" s="6" t="inlineStr">
        <is>
          <t>UTCID01</t>
        </is>
      </c>
      <c r="F9" s="6" t="inlineStr">
        <is>
          <t>UTCID02</t>
        </is>
      </c>
      <c r="G9" s="6" t="inlineStr">
        <is>
          <t>UTCID03</t>
        </is>
      </c>
      <c r="H9" s="6" t="inlineStr">
        <is>
          <t>UTCID04</t>
        </is>
      </c>
      <c r="I9" s="6" t="inlineStr">
        <is>
          <t>UTCID05</t>
        </is>
      </c>
    </row>
    <row r="10" ht="22" customHeight="1">
      <c r="A10" s="6" t="inlineStr">
        <is>
          <t>Condition</t>
        </is>
      </c>
      <c r="B10" s="6" t="inlineStr">
        <is>
          <t>Precondition</t>
        </is>
      </c>
      <c r="D10" s="6" t="inlineStr">
        <is>
          <t>N/A</t>
        </is>
      </c>
      <c r="E10" s="21" t="n"/>
      <c r="F10" s="21" t="n"/>
      <c r="G10" s="21" t="n"/>
      <c r="H10" s="21" t="n"/>
      <c r="I10" s="21" t="n"/>
    </row>
    <row r="12" ht="22" customHeight="1">
      <c r="A12" s="22" t="n"/>
      <c r="B12" s="23" t="inlineStr">
        <is>
          <t>Thao tác CRM</t>
        </is>
      </c>
      <c r="C12" s="22" t="n"/>
      <c r="D12" s="22" t="n"/>
      <c r="E12" s="22" t="n"/>
      <c r="F12" s="22" t="n"/>
      <c r="G12" s="22" t="n"/>
      <c r="H12" s="22" t="n"/>
      <c r="I12" s="22" t="n"/>
    </row>
    <row r="13" ht="21" customHeight="1">
      <c r="A13" s="11" t="n"/>
      <c r="B13" s="11" t="n"/>
      <c r="C13" s="11" t="n"/>
      <c r="D13" s="4" t="inlineStr">
        <is>
          <t>Thêm khách hàng thủ công</t>
        </is>
      </c>
      <c r="E13" s="7" t="inlineStr">
        <is>
          <t>O</t>
        </is>
      </c>
      <c r="F13" s="7" t="n"/>
      <c r="G13" s="7" t="n"/>
      <c r="H13" s="7" t="n"/>
      <c r="I13" s="7" t="n"/>
    </row>
    <row r="14" ht="21" customHeight="1">
      <c r="A14" s="11" t="n"/>
      <c r="B14" s="11" t="n"/>
      <c r="C14" s="11" t="n"/>
      <c r="D14" s="4" t="inlineStr">
        <is>
          <t>Cập nhật thông tin khách (SĐT, Email, Status)</t>
        </is>
      </c>
      <c r="E14" s="7" t="n"/>
      <c r="F14" s="7" t="inlineStr">
        <is>
          <t>O</t>
        </is>
      </c>
      <c r="G14" s="7" t="n"/>
      <c r="H14" s="7" t="n"/>
      <c r="I14" s="7" t="n"/>
    </row>
    <row r="15" ht="21" customHeight="1">
      <c r="A15" s="11" t="n"/>
      <c r="B15" s="11" t="n"/>
      <c r="C15" s="11" t="n"/>
      <c r="D15" s="4" t="inlineStr">
        <is>
          <t>Xóa khách hàng khỏi hệ thống</t>
        </is>
      </c>
      <c r="E15" s="7" t="n"/>
      <c r="F15" s="7" t="n"/>
      <c r="G15" s="7" t="inlineStr">
        <is>
          <t>O</t>
        </is>
      </c>
      <c r="H15" s="7" t="n"/>
      <c r="I15" s="7" t="n"/>
    </row>
    <row r="16" ht="21" customHeight="1">
      <c r="A16" s="11" t="n"/>
      <c r="B16" s="11" t="n"/>
      <c r="C16" s="11" t="n"/>
      <c r="D16" s="4" t="inlineStr">
        <is>
          <t>Cập nhật thông tin tài khoản kho game</t>
        </is>
      </c>
      <c r="E16" s="7" t="n"/>
      <c r="F16" s="7" t="n"/>
      <c r="G16" s="7" t="n"/>
      <c r="H16" s="7" t="inlineStr">
        <is>
          <t>O</t>
        </is>
      </c>
      <c r="I16" s="7" t="n"/>
    </row>
    <row r="17" ht="21" customHeight="1">
      <c r="A17" s="11" t="n"/>
      <c r="B17" s="11" t="n"/>
      <c r="C17" s="11" t="n"/>
      <c r="D17" s="4" t="inlineStr">
        <is>
          <t>Khách đăng ký mới ngoài trang chủ</t>
        </is>
      </c>
      <c r="E17" s="7" t="n"/>
      <c r="F17" s="7" t="n"/>
      <c r="G17" s="7" t="n"/>
      <c r="H17" s="7" t="n"/>
      <c r="I17" s="7" t="inlineStr">
        <is>
          <t>O</t>
        </is>
      </c>
    </row>
    <row r="19" ht="24" customHeight="1">
      <c r="A19" s="6" t="inlineStr">
        <is>
          <t>Confirm</t>
        </is>
      </c>
      <c r="B19" s="6" t="inlineStr">
        <is>
          <t>Return / Exception</t>
        </is>
      </c>
      <c r="C19" s="6" t="n"/>
      <c r="D19" s="6" t="n"/>
      <c r="E19" s="6" t="n"/>
      <c r="F19" s="6" t="n"/>
      <c r="G19" s="6" t="n"/>
      <c r="H19" s="6" t="n"/>
      <c r="I19" s="6" t="n"/>
    </row>
    <row r="20" ht="21" customHeight="1">
      <c r="A20" s="11" t="n"/>
      <c r="B20" s="11" t="n"/>
      <c r="C20" s="11" t="n"/>
      <c r="D20" s="4" t="inlineStr">
        <is>
          <t>Thêm thành công khách hàng mới (KH00x)</t>
        </is>
      </c>
      <c r="E20" s="7" t="inlineStr">
        <is>
          <t>O</t>
        </is>
      </c>
      <c r="F20" s="7" t="n"/>
      <c r="G20" s="7" t="n"/>
      <c r="H20" s="7" t="n"/>
      <c r="I20" s="7" t="n"/>
    </row>
    <row r="21" ht="21" customHeight="1">
      <c r="A21" s="11" t="n"/>
      <c r="B21" s="11" t="n"/>
      <c r="C21" s="11" t="n"/>
      <c r="D21" s="4" t="inlineStr">
        <is>
          <t>Thông tin khách hàng được cập nhật chính xác</t>
        </is>
      </c>
      <c r="E21" s="7" t="n"/>
      <c r="F21" s="7" t="inlineStr">
        <is>
          <t>O</t>
        </is>
      </c>
      <c r="G21" s="7" t="n"/>
      <c r="H21" s="7" t="n"/>
      <c r="I21" s="7" t="n"/>
    </row>
    <row r="22" ht="21" customHeight="1">
      <c r="A22" s="11" t="n"/>
      <c r="B22" s="11" t="n"/>
      <c r="C22" s="11" t="n"/>
      <c r="D22" s="4" t="inlineStr">
        <is>
          <t>Khách hàng bị xóa thành công khỏi CRM</t>
        </is>
      </c>
      <c r="E22" s="7" t="n"/>
      <c r="F22" s="7" t="n"/>
      <c r="G22" s="7" t="inlineStr">
        <is>
          <t>O</t>
        </is>
      </c>
      <c r="H22" s="7" t="n"/>
      <c r="I22" s="7" t="n"/>
    </row>
    <row r="23" ht="21" customHeight="1">
      <c r="A23" s="11" t="n"/>
      <c r="B23" s="11" t="n"/>
      <c r="C23" s="11" t="n"/>
      <c r="D23" s="4" t="inlineStr">
        <is>
          <t>Kho tài khoản game được cập nhật thành công</t>
        </is>
      </c>
      <c r="E23" s="7" t="n"/>
      <c r="F23" s="7" t="n"/>
      <c r="G23" s="7" t="n"/>
      <c r="H23" s="7" t="inlineStr">
        <is>
          <t>O</t>
        </is>
      </c>
      <c r="I23" s="7" t="n"/>
    </row>
    <row r="24" ht="21" customHeight="1">
      <c r="A24" s="11" t="n"/>
      <c r="B24" s="11" t="n"/>
      <c r="C24" s="11" t="n"/>
      <c r="D24" s="4" t="inlineStr">
        <is>
          <t>Tự động đồng bộ ngay lập tức sang CRM Admin</t>
        </is>
      </c>
      <c r="E24" s="7" t="n"/>
      <c r="F24" s="7" t="n"/>
      <c r="G24" s="7" t="n"/>
      <c r="H24" s="7" t="n"/>
      <c r="I24" s="7" t="inlineStr">
        <is>
          <t>O</t>
        </is>
      </c>
    </row>
    <row r="26" ht="23" customHeight="1">
      <c r="A26" s="6" t="inlineStr">
        <is>
          <t>Result</t>
        </is>
      </c>
      <c r="B26" s="6" t="inlineStr">
        <is>
          <t>Type(N : Normal, A : Abnormal, B : Boundary)</t>
        </is>
      </c>
      <c r="C26" s="6" t="n"/>
      <c r="D26" s="6" t="n"/>
      <c r="E26" s="6" t="inlineStr">
        <is>
          <t>N</t>
        </is>
      </c>
      <c r="F26" s="6" t="inlineStr">
        <is>
          <t>N</t>
        </is>
      </c>
      <c r="G26" s="6" t="inlineStr">
        <is>
          <t>N</t>
        </is>
      </c>
      <c r="H26" s="6" t="inlineStr">
        <is>
          <t>N</t>
        </is>
      </c>
      <c r="I26" s="6" t="inlineStr">
        <is>
          <t>N</t>
        </is>
      </c>
    </row>
    <row r="27" ht="23" customHeight="1">
      <c r="A27" s="11" t="n"/>
      <c r="B27" s="24" t="inlineStr">
        <is>
          <t>Passed/Failed</t>
        </is>
      </c>
      <c r="C27" s="11" t="n"/>
      <c r="D27" s="11" t="n"/>
      <c r="E27" s="25" t="inlineStr">
        <is>
          <t>P</t>
        </is>
      </c>
      <c r="F27" s="25" t="inlineStr">
        <is>
          <t>P</t>
        </is>
      </c>
      <c r="G27" s="25" t="inlineStr">
        <is>
          <t>P</t>
        </is>
      </c>
      <c r="H27" s="25" t="inlineStr">
        <is>
          <t>P</t>
        </is>
      </c>
      <c r="I27" s="25" t="inlineStr">
        <is>
          <t>P</t>
        </is>
      </c>
    </row>
    <row r="28" ht="21" customHeight="1">
      <c r="A28" s="11" t="n"/>
      <c r="B28" s="14" t="inlineStr">
        <is>
          <t>Executed Date</t>
        </is>
      </c>
      <c r="C28" s="11" t="n"/>
      <c r="D28" s="11" t="n"/>
      <c r="E28" s="26" t="inlineStr">
        <is>
          <t>26/09/2026</t>
        </is>
      </c>
      <c r="F28" s="26" t="inlineStr">
        <is>
          <t>26/09/2026</t>
        </is>
      </c>
      <c r="G28" s="26" t="inlineStr">
        <is>
          <t>26/09/2026</t>
        </is>
      </c>
      <c r="H28" s="26" t="inlineStr">
        <is>
          <t>26/09/2026</t>
        </is>
      </c>
      <c r="I28" s="26" t="inlineStr">
        <is>
          <t>26/09/2026</t>
        </is>
      </c>
    </row>
    <row r="29" ht="21" customHeight="1">
      <c r="A29" s="11" t="n"/>
      <c r="B29" s="14" t="inlineStr">
        <is>
          <t>Defect ID</t>
        </is>
      </c>
      <c r="C29" s="11" t="n"/>
      <c r="D29" s="11" t="n"/>
      <c r="E29" s="27" t="inlineStr"/>
      <c r="F29" s="27" t="inlineStr"/>
      <c r="G29" s="27" t="inlineStr"/>
      <c r="H29" s="27" t="inlineStr"/>
      <c r="I29" s="27"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2:N28"/>
  <sheetViews>
    <sheetView workbookViewId="0">
      <selection activeCell="A1" sqref="A1"/>
    </sheetView>
  </sheetViews>
  <sheetFormatPr baseColWidth="8" defaultRowHeight="15"/>
  <cols>
    <col width="12" customWidth="1" min="1" max="1"/>
    <col width="24" customWidth="1" min="2" max="2"/>
    <col width="12" customWidth="1" min="3" max="3"/>
    <col width="48" customWidth="1" min="4" max="4"/>
    <col width="9.5" customWidth="1" min="5" max="5"/>
    <col width="9.5" customWidth="1" min="6" max="6"/>
    <col width="9.5" customWidth="1" min="7" max="7"/>
    <col width="9.5" customWidth="1" min="8" max="8"/>
    <col width="9.5" customWidth="1" min="9" max="9"/>
  </cols>
  <sheetData>
    <row r="2" ht="22" customHeight="1">
      <c r="A2" s="5" t="inlineStr">
        <is>
          <t>Function Code</t>
        </is>
      </c>
      <c r="C2" s="19" t="inlineStr">
        <is>
          <t>F_FAV_SEP</t>
        </is>
      </c>
      <c r="E2" s="5" t="inlineStr">
        <is>
          <t>Function Name</t>
        </is>
      </c>
      <c r="G2" s="18" t="inlineStr">
        <is>
          <t>getFavoritesKey</t>
        </is>
      </c>
    </row>
    <row r="3" ht="22" customHeight="1">
      <c r="A3" s="5" t="inlineStr">
        <is>
          <t>Created By</t>
        </is>
      </c>
      <c r="C3" s="18" t="inlineStr">
        <is>
          <t>Nhóm 15</t>
        </is>
      </c>
      <c r="E3" s="5" t="inlineStr">
        <is>
          <t>Executed By</t>
        </is>
      </c>
      <c r="G3" s="18" t="inlineStr">
        <is>
          <t>Nhóm 15 (Automation)</t>
        </is>
      </c>
    </row>
    <row r="4" ht="22" customHeight="1">
      <c r="A4" s="5" t="inlineStr">
        <is>
          <t>Lines of code</t>
        </is>
      </c>
      <c r="C4" s="18" t="n">
        <v>22</v>
      </c>
    </row>
    <row r="5" ht="22" customHeight="1">
      <c r="A5" s="5" t="inlineStr">
        <is>
          <t>Test requirement</t>
        </is>
      </c>
      <c r="C5" s="18" t="inlineStr">
        <is>
          <t>Xác định chính xác storage key phân tách danh sách yêu thích độc lập theo User ID</t>
        </is>
      </c>
    </row>
    <row r="6" ht="22" customHeight="1">
      <c r="A6" s="6" t="inlineStr">
        <is>
          <t>Passed</t>
        </is>
      </c>
      <c r="C6" s="6" t="inlineStr">
        <is>
          <t>Failed</t>
        </is>
      </c>
      <c r="E6" s="6" t="inlineStr">
        <is>
          <t>Untested</t>
        </is>
      </c>
      <c r="K6" s="6" t="inlineStr">
        <is>
          <t>N</t>
        </is>
      </c>
      <c r="L6" s="6" t="inlineStr">
        <is>
          <t>A</t>
        </is>
      </c>
      <c r="M6" s="6" t="inlineStr">
        <is>
          <t>B</t>
        </is>
      </c>
      <c r="N6" s="6" t="inlineStr">
        <is>
          <t>Total Test Cases</t>
        </is>
      </c>
    </row>
    <row r="7" ht="24" customHeight="1">
      <c r="A7" s="20">
        <f>COUNTIF(E26:I26,"P")</f>
        <v/>
      </c>
      <c r="C7" s="20">
        <f>COUNTIF(E26:I26,"F")</f>
        <v/>
      </c>
      <c r="E7" s="20">
        <f>SUM(N7,-A7,-C7)</f>
        <v/>
      </c>
      <c r="K7" s="20">
        <f>COUNTIF(E25:I25,"N")</f>
        <v/>
      </c>
      <c r="L7" s="20">
        <f>COUNTIF(E25:I25,"A")</f>
        <v/>
      </c>
      <c r="M7" s="20">
        <f>COUNTIF(E25:I25,"B")</f>
        <v/>
      </c>
      <c r="N7" s="20">
        <f>COUNTA(E9:I9)</f>
        <v/>
      </c>
    </row>
    <row r="9" ht="24" customHeight="1">
      <c r="E9" s="6" t="inlineStr">
        <is>
          <t>UTCID01</t>
        </is>
      </c>
      <c r="F9" s="6" t="inlineStr">
        <is>
          <t>UTCID02</t>
        </is>
      </c>
      <c r="G9" s="6" t="inlineStr">
        <is>
          <t>UTCID03</t>
        </is>
      </c>
      <c r="H9" s="6" t="inlineStr">
        <is>
          <t>UTCID04</t>
        </is>
      </c>
      <c r="I9" s="6" t="inlineStr">
        <is>
          <t>UTCID05</t>
        </is>
      </c>
    </row>
    <row r="10" ht="22" customHeight="1">
      <c r="A10" s="6" t="inlineStr">
        <is>
          <t>Condition</t>
        </is>
      </c>
      <c r="B10" s="6" t="inlineStr">
        <is>
          <t>Precondition</t>
        </is>
      </c>
      <c r="D10" s="6" t="inlineStr">
        <is>
          <t>N/A</t>
        </is>
      </c>
      <c r="E10" s="21" t="n"/>
      <c r="F10" s="21" t="n"/>
      <c r="G10" s="21" t="n"/>
      <c r="H10" s="21" t="n"/>
      <c r="I10" s="21" t="n"/>
    </row>
    <row r="12" ht="22" customHeight="1">
      <c r="A12" s="22" t="n"/>
      <c r="B12" s="23" t="inlineStr">
        <is>
          <t>Vai trò &amp; Người dùng</t>
        </is>
      </c>
      <c r="C12" s="22" t="n"/>
      <c r="D12" s="22" t="n"/>
      <c r="E12" s="22" t="n"/>
      <c r="F12" s="22" t="n"/>
      <c r="G12" s="22" t="n"/>
      <c r="H12" s="22" t="n"/>
      <c r="I12" s="22" t="n"/>
    </row>
    <row r="13" ht="21" customHeight="1">
      <c r="A13" s="11" t="n"/>
      <c r="B13" s="11" t="n"/>
      <c r="C13" s="11" t="n"/>
      <c r="D13" s="4" t="inlineStr">
        <is>
          <t>Tài khoản Quản trị viên (Admin)</t>
        </is>
      </c>
      <c r="E13" s="7" t="inlineStr">
        <is>
          <t>O</t>
        </is>
      </c>
      <c r="F13" s="7" t="n"/>
      <c r="G13" s="7" t="n"/>
      <c r="H13" s="7" t="inlineStr">
        <is>
          <t>O</t>
        </is>
      </c>
      <c r="I13" s="7" t="n"/>
    </row>
    <row r="14" ht="21" customHeight="1">
      <c r="A14" s="11" t="n"/>
      <c r="B14" s="11" t="n"/>
      <c r="C14" s="11" t="n"/>
      <c r="D14" s="4" t="inlineStr">
        <is>
          <t>Khách hàng User 1</t>
        </is>
      </c>
      <c r="E14" s="7" t="n"/>
      <c r="F14" s="7" t="inlineStr">
        <is>
          <t>O</t>
        </is>
      </c>
      <c r="G14" s="7" t="n"/>
      <c r="H14" s="7" t="inlineStr">
        <is>
          <t>O</t>
        </is>
      </c>
      <c r="I14" s="7" t="inlineStr">
        <is>
          <t>O</t>
        </is>
      </c>
    </row>
    <row r="15" ht="21" customHeight="1">
      <c r="A15" s="11" t="n"/>
      <c r="B15" s="11" t="n"/>
      <c r="C15" s="11" t="n"/>
      <c r="D15" s="4" t="inlineStr">
        <is>
          <t>Khách hàng User 2</t>
        </is>
      </c>
      <c r="E15" s="7" t="n"/>
      <c r="F15" s="7" t="n"/>
      <c r="G15" s="7" t="n"/>
      <c r="H15" s="7" t="n"/>
      <c r="I15" s="7" t="inlineStr">
        <is>
          <t>O</t>
        </is>
      </c>
    </row>
    <row r="16" ht="21" customHeight="1">
      <c r="A16" s="11" t="n"/>
      <c r="B16" s="11" t="n"/>
      <c r="C16" s="11" t="n"/>
      <c r="D16" s="4" t="inlineStr">
        <is>
          <t>Khách vãng lai (Chưa đăng nhập)</t>
        </is>
      </c>
      <c r="E16" s="7" t="n"/>
      <c r="F16" s="7" t="n"/>
      <c r="G16" s="7" t="inlineStr">
        <is>
          <t>O</t>
        </is>
      </c>
      <c r="H16" s="7" t="n"/>
      <c r="I16" s="7" t="n"/>
    </row>
    <row r="18" ht="24" customHeight="1">
      <c r="A18" s="6" t="inlineStr">
        <is>
          <t>Confirm</t>
        </is>
      </c>
      <c r="B18" s="6" t="inlineStr">
        <is>
          <t>Return / Exception</t>
        </is>
      </c>
      <c r="C18" s="6" t="n"/>
      <c r="D18" s="6" t="n"/>
      <c r="E18" s="6" t="n"/>
      <c r="F18" s="6" t="n"/>
      <c r="G18" s="6" t="n"/>
      <c r="H18" s="6" t="n"/>
      <c r="I18" s="6" t="n"/>
    </row>
    <row r="19" ht="21" customHeight="1">
      <c r="A19" s="11" t="n"/>
      <c r="B19" s="11" t="n"/>
      <c r="C19" s="11" t="n"/>
      <c r="D19" s="4" t="inlineStr">
        <is>
          <t>Key chuẩn: 'gamerent_fav_admin_01'</t>
        </is>
      </c>
      <c r="E19" s="7" t="inlineStr">
        <is>
          <t>O</t>
        </is>
      </c>
      <c r="F19" s="7" t="n"/>
      <c r="G19" s="7" t="n"/>
      <c r="H19" s="7" t="n"/>
      <c r="I19" s="7" t="n"/>
    </row>
    <row r="20" ht="21" customHeight="1">
      <c r="A20" s="11" t="n"/>
      <c r="B20" s="11" t="n"/>
      <c r="C20" s="11" t="n"/>
      <c r="D20" s="4" t="inlineStr">
        <is>
          <t>Key chuẩn: 'gamerent_fav_user_02'</t>
        </is>
      </c>
      <c r="E20" s="7" t="n"/>
      <c r="F20" s="7" t="inlineStr">
        <is>
          <t>O</t>
        </is>
      </c>
      <c r="G20" s="7" t="n"/>
      <c r="H20" s="7" t="n"/>
      <c r="I20" s="7" t="n"/>
    </row>
    <row r="21" ht="21" customHeight="1">
      <c r="A21" s="11" t="n"/>
      <c r="B21" s="11" t="n"/>
      <c r="C21" s="11" t="n"/>
      <c r="D21" s="4" t="inlineStr">
        <is>
          <t>Key chuẩn: 'gamerent_fav_guest'</t>
        </is>
      </c>
      <c r="E21" s="7" t="n"/>
      <c r="F21" s="7" t="n"/>
      <c r="G21" s="7" t="inlineStr">
        <is>
          <t>O</t>
        </is>
      </c>
      <c r="H21" s="7" t="n"/>
      <c r="I21" s="7" t="n"/>
    </row>
    <row r="22" ht="21" customHeight="1">
      <c r="A22" s="11" t="n"/>
      <c r="B22" s="11" t="n"/>
      <c r="C22" s="11" t="n"/>
      <c r="D22" s="4" t="inlineStr">
        <is>
          <t>Dữ liệu tim của Admin không lẫn sang User</t>
        </is>
      </c>
      <c r="E22" s="7" t="n"/>
      <c r="F22" s="7" t="n"/>
      <c r="G22" s="7" t="n"/>
      <c r="H22" s="7" t="inlineStr">
        <is>
          <t>O</t>
        </is>
      </c>
      <c r="I22" s="7" t="n"/>
    </row>
    <row r="23" ht="21" customHeight="1">
      <c r="A23" s="11" t="n"/>
      <c r="B23" s="11" t="n"/>
      <c r="C23" s="11" t="n"/>
      <c r="D23" s="4" t="inlineStr">
        <is>
          <t>Hai khách hàng có danh sách tim độc lập 100%</t>
        </is>
      </c>
      <c r="E23" s="7" t="n"/>
      <c r="F23" s="7" t="n"/>
      <c r="G23" s="7" t="n"/>
      <c r="H23" s="7" t="n"/>
      <c r="I23" s="7" t="inlineStr">
        <is>
          <t>O</t>
        </is>
      </c>
    </row>
    <row r="25" ht="23" customHeight="1">
      <c r="A25" s="6" t="inlineStr">
        <is>
          <t>Result</t>
        </is>
      </c>
      <c r="B25" s="6" t="inlineStr">
        <is>
          <t>Type(N : Normal, A : Abnormal, B : Boundary)</t>
        </is>
      </c>
      <c r="C25" s="6" t="n"/>
      <c r="D25" s="6" t="n"/>
      <c r="E25" s="6" t="inlineStr">
        <is>
          <t>N</t>
        </is>
      </c>
      <c r="F25" s="6" t="inlineStr">
        <is>
          <t>N</t>
        </is>
      </c>
      <c r="G25" s="6" t="inlineStr">
        <is>
          <t>N</t>
        </is>
      </c>
      <c r="H25" s="6" t="inlineStr">
        <is>
          <t>N</t>
        </is>
      </c>
      <c r="I25" s="6" t="inlineStr">
        <is>
          <t>N</t>
        </is>
      </c>
    </row>
    <row r="26" ht="23" customHeight="1">
      <c r="A26" s="11" t="n"/>
      <c r="B26" s="24" t="inlineStr">
        <is>
          <t>Passed/Failed</t>
        </is>
      </c>
      <c r="C26" s="11" t="n"/>
      <c r="D26" s="11" t="n"/>
      <c r="E26" s="25" t="inlineStr">
        <is>
          <t>P</t>
        </is>
      </c>
      <c r="F26" s="25" t="inlineStr">
        <is>
          <t>P</t>
        </is>
      </c>
      <c r="G26" s="25" t="inlineStr">
        <is>
          <t>P</t>
        </is>
      </c>
      <c r="H26" s="25" t="inlineStr">
        <is>
          <t>P</t>
        </is>
      </c>
      <c r="I26" s="25" t="inlineStr">
        <is>
          <t>P</t>
        </is>
      </c>
    </row>
    <row r="27" ht="21" customHeight="1">
      <c r="A27" s="11" t="n"/>
      <c r="B27" s="14" t="inlineStr">
        <is>
          <t>Executed Date</t>
        </is>
      </c>
      <c r="C27" s="11" t="n"/>
      <c r="D27" s="11" t="n"/>
      <c r="E27" s="26" t="inlineStr">
        <is>
          <t>26/09/2026</t>
        </is>
      </c>
      <c r="F27" s="26" t="inlineStr">
        <is>
          <t>26/09/2026</t>
        </is>
      </c>
      <c r="G27" s="26" t="inlineStr">
        <is>
          <t>26/09/2026</t>
        </is>
      </c>
      <c r="H27" s="26" t="inlineStr">
        <is>
          <t>26/09/2026</t>
        </is>
      </c>
      <c r="I27" s="26" t="inlineStr">
        <is>
          <t>26/09/2026</t>
        </is>
      </c>
    </row>
    <row r="28" ht="21" customHeight="1">
      <c r="A28" s="11" t="n"/>
      <c r="B28" s="14" t="inlineStr">
        <is>
          <t>Defect ID</t>
        </is>
      </c>
      <c r="C28" s="11" t="n"/>
      <c r="D28" s="11" t="n"/>
      <c r="E28" s="27" t="inlineStr"/>
      <c r="F28" s="27" t="inlineStr"/>
      <c r="G28" s="27" t="inlineStr"/>
      <c r="H28" s="27" t="inlineStr"/>
      <c r="I28" s="27"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97"/>
  <sheetViews>
    <sheetView workbookViewId="0">
      <selection activeCell="A1" sqref="A1"/>
    </sheetView>
  </sheetViews>
  <sheetFormatPr baseColWidth="8" defaultRowHeight="15"/>
  <cols>
    <col width="8" customWidth="1" min="1" max="1"/>
    <col width="30" customWidth="1" min="2" max="2"/>
    <col width="25" customWidth="1" min="3" max="3"/>
    <col width="25" customWidth="1" min="4" max="4"/>
    <col width="25" customWidth="1" min="5" max="5"/>
    <col width="25" customWidth="1" min="6" max="6"/>
    <col width="25" customWidth="1" min="7" max="7"/>
  </cols>
  <sheetData>
    <row r="1" ht="30" customHeight="1">
      <c r="A1" s="28" t="inlineStr">
        <is>
          <t>MÃ NGUỒN CÁC HÀM XỬ LÝ LOGIC ĐƯỢC KIỂM THỬ ĐƠN VỊ (UNIT TEST SOURCE CODE)</t>
        </is>
      </c>
    </row>
    <row r="3" ht="24" customHeight="1">
      <c r="A3" s="29" t="inlineStr">
        <is>
          <t>1. MODULE 1 ĐẾN MODULE 8: CÁC HÀM VALIDATION &amp; BUSINESS LOGIC (src/utils/validation.js)</t>
        </is>
      </c>
    </row>
    <row r="4" ht="18" customHeight="1">
      <c r="A4" s="30" t="n">
        <v>1</v>
      </c>
      <c r="B4" s="31" t="inlineStr">
        <is>
          <t>// ==============================================================================</t>
        </is>
      </c>
    </row>
    <row r="5" ht="18" customHeight="1">
      <c r="A5" s="30" t="n">
        <v>2</v>
      </c>
      <c r="B5" s="31" t="inlineStr">
        <is>
          <t>// CÁC HÀM NGHIỆP VỤ CỐT LÕI (CORE BUSINESS LOGIC &amp; TEST VALIDATORS)</t>
        </is>
      </c>
    </row>
    <row r="6" ht="18" customHeight="1">
      <c r="A6" s="30" t="n">
        <v>3</v>
      </c>
      <c r="B6" s="31" t="inlineStr">
        <is>
          <t>// Phục vụ kiểm thử Unit Test (BVA, EP, Decision Table, UC1 Specs) cho GameRent</t>
        </is>
      </c>
    </row>
    <row r="7" ht="18" customHeight="1">
      <c r="A7" s="30" t="n">
        <v>4</v>
      </c>
      <c r="B7" s="31" t="inlineStr">
        <is>
          <t>// ==============================================================================</t>
        </is>
      </c>
    </row>
    <row r="8" ht="18" customHeight="1">
      <c r="A8" s="30" t="n">
        <v>5</v>
      </c>
      <c r="B8" s="31" t="inlineStr"/>
    </row>
    <row r="9" ht="18" customHeight="1">
      <c r="A9" s="30" t="n">
        <v>6</v>
      </c>
      <c r="B9" s="31" t="inlineStr">
        <is>
          <t>/**</t>
        </is>
      </c>
    </row>
    <row r="10" ht="18" customHeight="1">
      <c r="A10" s="30" t="n">
        <v>7</v>
      </c>
      <c r="B10" s="31" t="inlineStr">
        <is>
          <t xml:space="preserve"> * 1. F_AUTH_REG: Kiểm tra hợp lệ form đăng ký tài khoản</t>
        </is>
      </c>
    </row>
    <row r="11" ht="18" customHeight="1">
      <c r="A11" s="30" t="n">
        <v>8</v>
      </c>
      <c r="B11" s="31" t="inlineStr">
        <is>
          <t xml:space="preserve"> * - Username: 4-30 ký tự, không rỗng, không chứa khoảng trắng, không ký tự đặc biệt</t>
        </is>
      </c>
    </row>
    <row r="12" ht="18" customHeight="1">
      <c r="A12" s="30" t="n">
        <v>9</v>
      </c>
      <c r="B12" s="31" t="inlineStr">
        <is>
          <t xml:space="preserve"> * - Password: Tối thiểu 6 ký tự</t>
        </is>
      </c>
    </row>
    <row r="13" ht="18" customHeight="1">
      <c r="A13" s="30" t="n">
        <v>10</v>
      </c>
      <c r="B13" s="31" t="inlineStr">
        <is>
          <t xml:space="preserve"> * - Phone: Đúng 10 chữ số di động (đầu số 09, 03, 07, 08, 05)</t>
        </is>
      </c>
    </row>
    <row r="14" ht="18" customHeight="1">
      <c r="A14" s="30" t="n">
        <v>11</v>
      </c>
      <c r="B14" s="31" t="inlineStr">
        <is>
          <t xml:space="preserve"> * - Trùng lặp: Không trùng với user đã có</t>
        </is>
      </c>
    </row>
    <row r="15" ht="18" customHeight="1">
      <c r="A15" s="30" t="n">
        <v>12</v>
      </c>
      <c r="B15" s="31" t="inlineStr">
        <is>
          <t xml:space="preserve"> */</t>
        </is>
      </c>
    </row>
    <row r="16" ht="18" customHeight="1">
      <c r="A16" s="30" t="n">
        <v>13</v>
      </c>
      <c r="B16" s="31" t="inlineStr">
        <is>
          <t>export function validateRegistration(username, password, phone, existingUsers = []) {</t>
        </is>
      </c>
    </row>
    <row r="17" ht="18" customHeight="1">
      <c r="A17" s="30" t="n">
        <v>14</v>
      </c>
      <c r="B17" s="31" t="inlineStr">
        <is>
          <t xml:space="preserve">  if (!username || typeof username !== 'string' || username.trim() === '') {</t>
        </is>
      </c>
    </row>
    <row r="18" ht="18" customHeight="1">
      <c r="A18" s="30" t="n">
        <v>15</v>
      </c>
      <c r="B18" s="31" t="inlineStr">
        <is>
          <t xml:space="preserve">    return { isValid: false, error: 'Tên đăng nhập không được để trống' };</t>
        </is>
      </c>
    </row>
    <row r="19" ht="18" customHeight="1">
      <c r="A19" s="30" t="n">
        <v>16</v>
      </c>
      <c r="B19" s="31" t="inlineStr">
        <is>
          <t xml:space="preserve">  }</t>
        </is>
      </c>
    </row>
    <row r="20" ht="18" customHeight="1">
      <c r="A20" s="30" t="n">
        <v>17</v>
      </c>
      <c r="B20" s="31" t="inlineStr">
        <is>
          <t xml:space="preserve">  const cleanUser = username.trim();</t>
        </is>
      </c>
    </row>
    <row r="21" ht="18" customHeight="1">
      <c r="A21" s="30" t="n">
        <v>18</v>
      </c>
      <c r="B21" s="31" t="inlineStr">
        <is>
          <t xml:space="preserve">  if (cleanUser.length &lt; 4) {</t>
        </is>
      </c>
    </row>
    <row r="22" ht="18" customHeight="1">
      <c r="A22" s="30" t="n">
        <v>19</v>
      </c>
      <c r="B22" s="31" t="inlineStr">
        <is>
          <t xml:space="preserve">    return { isValid: false, error: 'Tên đăng nhập phải từ 4 ký tự trở lên' };</t>
        </is>
      </c>
    </row>
    <row r="23" ht="18" customHeight="1">
      <c r="A23" s="30" t="n">
        <v>20</v>
      </c>
      <c r="B23" s="31" t="inlineStr">
        <is>
          <t xml:space="preserve">  }</t>
        </is>
      </c>
    </row>
    <row r="24" ht="18" customHeight="1">
      <c r="A24" s="30" t="n">
        <v>21</v>
      </c>
      <c r="B24" s="31" t="inlineStr">
        <is>
          <t xml:space="preserve">  if (cleanUser.length &gt; 30) {</t>
        </is>
      </c>
    </row>
    <row r="25" ht="18" customHeight="1">
      <c r="A25" s="30" t="n">
        <v>22</v>
      </c>
      <c r="B25" s="31" t="inlineStr">
        <is>
          <t xml:space="preserve">    return { isValid: false, error: 'Tên đăng nhập không được vượt quá 30 ký tự' };</t>
        </is>
      </c>
    </row>
    <row r="26" ht="18" customHeight="1">
      <c r="A26" s="30" t="n">
        <v>23</v>
      </c>
      <c r="B26" s="31" t="inlineStr">
        <is>
          <t xml:space="preserve">  }</t>
        </is>
      </c>
    </row>
    <row r="27" ht="18" customHeight="1">
      <c r="A27" s="30" t="n">
        <v>24</v>
      </c>
      <c r="B27" s="31" t="inlineStr">
        <is>
          <t xml:space="preserve">  if (/\s/.test(cleanUser)) {</t>
        </is>
      </c>
    </row>
    <row r="28" ht="18" customHeight="1">
      <c r="A28" s="30" t="n">
        <v>25</v>
      </c>
      <c r="B28" s="31" t="inlineStr">
        <is>
          <t xml:space="preserve">    return { isValid: false, error: 'Tên đăng nhập không chứa khoảng trắng' };</t>
        </is>
      </c>
    </row>
    <row r="29" ht="18" customHeight="1">
      <c r="A29" s="30" t="n">
        <v>26</v>
      </c>
      <c r="B29" s="31" t="inlineStr">
        <is>
          <t xml:space="preserve">  }</t>
        </is>
      </c>
    </row>
    <row r="30" ht="18" customHeight="1">
      <c r="A30" s="30" t="n">
        <v>27</v>
      </c>
      <c r="B30" s="31" t="inlineStr">
        <is>
          <t xml:space="preserve">  if (!/^[a-zA-Z0-9_]+$/.test(cleanUser)) {</t>
        </is>
      </c>
    </row>
    <row r="31" ht="18" customHeight="1">
      <c r="A31" s="30" t="n">
        <v>28</v>
      </c>
      <c r="B31" s="31" t="inlineStr">
        <is>
          <t xml:space="preserve">    return { isValid: false, error: 'Tên đăng nhập chỉ gồm chữ và số' };</t>
        </is>
      </c>
    </row>
    <row r="32" ht="18" customHeight="1">
      <c r="A32" s="30" t="n">
        <v>29</v>
      </c>
      <c r="B32" s="31" t="inlineStr">
        <is>
          <t xml:space="preserve">  }</t>
        </is>
      </c>
    </row>
    <row r="33" ht="18" customHeight="1">
      <c r="A33" s="30" t="n">
        <v>30</v>
      </c>
      <c r="B33" s="31" t="inlineStr"/>
    </row>
    <row r="34" ht="18" customHeight="1">
      <c r="A34" s="30" t="n">
        <v>31</v>
      </c>
      <c r="B34" s="31" t="inlineStr">
        <is>
          <t xml:space="preserve">  if (!password || typeof password !== 'string' || password.length &lt; 6) {</t>
        </is>
      </c>
    </row>
    <row r="35" ht="18" customHeight="1">
      <c r="A35" s="30" t="n">
        <v>32</v>
      </c>
      <c r="B35" s="31" t="inlineStr">
        <is>
          <t xml:space="preserve">    return { isValid: false, error: 'Mật khẩu phải có ít nhất 6 ký tự' };</t>
        </is>
      </c>
    </row>
    <row r="36" ht="18" customHeight="1">
      <c r="A36" s="30" t="n">
        <v>33</v>
      </c>
      <c r="B36" s="31" t="inlineStr">
        <is>
          <t xml:space="preserve">  }</t>
        </is>
      </c>
    </row>
    <row r="37" ht="18" customHeight="1">
      <c r="A37" s="30" t="n">
        <v>34</v>
      </c>
      <c r="B37" s="31" t="inlineStr"/>
    </row>
    <row r="38" ht="18" customHeight="1">
      <c r="A38" s="30" t="n">
        <v>35</v>
      </c>
      <c r="B38" s="31" t="inlineStr">
        <is>
          <t xml:space="preserve">  if (phone !== undefined &amp;&amp; phone !== null) {</t>
        </is>
      </c>
    </row>
    <row r="39" ht="18" customHeight="1">
      <c r="A39" s="30" t="n">
        <v>36</v>
      </c>
      <c r="B39" s="31" t="inlineStr">
        <is>
          <t xml:space="preserve">    const cleanPhone = String(phone).trim();</t>
        </is>
      </c>
    </row>
    <row r="40" ht="18" customHeight="1">
      <c r="A40" s="30" t="n">
        <v>37</v>
      </c>
      <c r="B40" s="31" t="inlineStr">
        <is>
          <t xml:space="preserve">    if (!/^\d+$/.test(cleanPhone)) {</t>
        </is>
      </c>
    </row>
    <row r="41" ht="18" customHeight="1">
      <c r="A41" s="30" t="n">
        <v>38</v>
      </c>
      <c r="B41" s="31" t="inlineStr">
        <is>
          <t xml:space="preserve">      return { isValid: false, error: 'Số điện thoại chỉ gồm chữ số' };</t>
        </is>
      </c>
    </row>
    <row r="42" ht="18" customHeight="1">
      <c r="A42" s="30" t="n">
        <v>39</v>
      </c>
      <c r="B42" s="31" t="inlineStr">
        <is>
          <t xml:space="preserve">    }</t>
        </is>
      </c>
    </row>
    <row r="43" ht="18" customHeight="1">
      <c r="A43" s="30" t="n">
        <v>40</v>
      </c>
      <c r="B43" s="31" t="inlineStr">
        <is>
          <t xml:space="preserve">    if (cleanPhone.length !== 10) {</t>
        </is>
      </c>
    </row>
    <row r="44" ht="18" customHeight="1">
      <c r="A44" s="30" t="n">
        <v>41</v>
      </c>
      <c r="B44" s="31" t="inlineStr">
        <is>
          <t xml:space="preserve">      return { isValid: false, error: cleanPhone.length &lt; 10 ? 'Số điện thoại phải gồm đúng 10 chữ số' : 'Số điện thoại không được vượt quá 10 chữ số' };</t>
        </is>
      </c>
    </row>
    <row r="45" ht="18" customHeight="1">
      <c r="A45" s="30" t="n">
        <v>42</v>
      </c>
      <c r="B45" s="31" t="inlineStr">
        <is>
          <t xml:space="preserve">    }</t>
        </is>
      </c>
    </row>
    <row r="46" ht="18" customHeight="1">
      <c r="A46" s="30" t="n">
        <v>43</v>
      </c>
      <c r="B46" s="31" t="inlineStr">
        <is>
          <t xml:space="preserve">    if (!/^(09|03|07|08|05)\d{8}$/.test(cleanPhone)) {</t>
        </is>
      </c>
    </row>
    <row r="47" ht="18" customHeight="1">
      <c r="A47" s="30" t="n">
        <v>44</v>
      </c>
      <c r="B47" s="31" t="inlineStr">
        <is>
          <t xml:space="preserve">      return { isValid: false, error: 'Số điện thoại không đúng định dạng đầu số di động' };</t>
        </is>
      </c>
    </row>
    <row r="48" ht="18" customHeight="1">
      <c r="A48" s="30" t="n">
        <v>45</v>
      </c>
      <c r="B48" s="31" t="inlineStr">
        <is>
          <t xml:space="preserve">    }</t>
        </is>
      </c>
    </row>
    <row r="49" ht="18" customHeight="1">
      <c r="A49" s="30" t="n">
        <v>46</v>
      </c>
      <c r="B49" s="31" t="inlineStr">
        <is>
          <t xml:space="preserve">  }</t>
        </is>
      </c>
    </row>
    <row r="50" ht="18" customHeight="1">
      <c r="A50" s="30" t="n">
        <v>47</v>
      </c>
      <c r="B50" s="31" t="inlineStr"/>
    </row>
    <row r="51" ht="18" customHeight="1">
      <c r="A51" s="30" t="n">
        <v>48</v>
      </c>
      <c r="B51" s="31" t="inlineStr">
        <is>
          <t xml:space="preserve">  const isDuplicate = existingUsers.some(</t>
        </is>
      </c>
    </row>
    <row r="52" ht="18" customHeight="1">
      <c r="A52" s="30" t="n">
        <v>49</v>
      </c>
      <c r="B52" s="31" t="inlineStr">
        <is>
          <t xml:space="preserve">    u =&gt; (u.username &amp;&amp; u.username.toLowerCase() === cleanUser.toLowerCase()) ||</t>
        </is>
      </c>
    </row>
    <row r="53" ht="18" customHeight="1">
      <c r="A53" s="30" t="n">
        <v>50</v>
      </c>
      <c r="B53" s="31" t="inlineStr">
        <is>
          <t xml:space="preserve">         (u.email &amp;&amp; u.email.toLowerCase() === cleanUser.toLowerCase())</t>
        </is>
      </c>
    </row>
    <row r="54" ht="18" customHeight="1">
      <c r="A54" s="30" t="n">
        <v>51</v>
      </c>
      <c r="B54" s="31" t="inlineStr">
        <is>
          <t xml:space="preserve">  );</t>
        </is>
      </c>
    </row>
    <row r="55" ht="18" customHeight="1">
      <c r="A55" s="30" t="n">
        <v>52</v>
      </c>
      <c r="B55" s="31" t="inlineStr">
        <is>
          <t xml:space="preserve">  if (isDuplicate) {</t>
        </is>
      </c>
    </row>
    <row r="56" ht="18" customHeight="1">
      <c r="A56" s="30" t="n">
        <v>53</v>
      </c>
      <c r="B56" s="31" t="inlineStr">
        <is>
          <t xml:space="preserve">    return { isValid: false, error: 'Tên đăng nhập đã tồn tại trong hệ thống' };</t>
        </is>
      </c>
    </row>
    <row r="57" ht="18" customHeight="1">
      <c r="A57" s="30" t="n">
        <v>54</v>
      </c>
      <c r="B57" s="31" t="inlineStr">
        <is>
          <t xml:space="preserve">  }</t>
        </is>
      </c>
    </row>
    <row r="58" ht="18" customHeight="1">
      <c r="A58" s="30" t="n">
        <v>55</v>
      </c>
      <c r="B58" s="31" t="inlineStr"/>
    </row>
    <row r="59" ht="18" customHeight="1">
      <c r="A59" s="30" t="n">
        <v>56</v>
      </c>
      <c r="B59" s="31" t="inlineStr">
        <is>
          <t xml:space="preserve">  return { isValid: true, error: null };</t>
        </is>
      </c>
    </row>
    <row r="60" ht="18" customHeight="1">
      <c r="A60" s="30" t="n">
        <v>57</v>
      </c>
      <c r="B60" s="31" t="inlineStr">
        <is>
          <t>}</t>
        </is>
      </c>
    </row>
    <row r="61" ht="18" customHeight="1">
      <c r="A61" s="30" t="n">
        <v>58</v>
      </c>
      <c r="B61" s="31" t="inlineStr"/>
    </row>
    <row r="62" ht="18" customHeight="1">
      <c r="A62" s="30" t="n">
        <v>59</v>
      </c>
      <c r="B62" s="31" t="inlineStr">
        <is>
          <t>/**</t>
        </is>
      </c>
    </row>
    <row r="63" ht="18" customHeight="1">
      <c r="A63" s="30" t="n">
        <v>60</v>
      </c>
      <c r="B63" s="31" t="inlineStr">
        <is>
          <t xml:space="preserve"> * 2. F_AUTH_LOGIN: Xác thực đăng nhập tài khoản</t>
        </is>
      </c>
    </row>
    <row r="64" ht="18" customHeight="1">
      <c r="A64" s="30" t="n">
        <v>61</v>
      </c>
      <c r="B64" s="31" t="inlineStr">
        <is>
          <t xml:space="preserve"> */</t>
        </is>
      </c>
    </row>
    <row r="65" ht="18" customHeight="1">
      <c r="A65" s="30" t="n">
        <v>62</v>
      </c>
      <c r="B65" s="31" t="inlineStr">
        <is>
          <t>export function validateLogin(email, password, users = []) {</t>
        </is>
      </c>
    </row>
    <row r="66" ht="18" customHeight="1">
      <c r="A66" s="30" t="n">
        <v>63</v>
      </c>
      <c r="B66" s="31" t="inlineStr">
        <is>
          <t xml:space="preserve">  if (!email || String(email).trim() === '') {</t>
        </is>
      </c>
    </row>
    <row r="67" ht="18" customHeight="1">
      <c r="A67" s="30" t="n">
        <v>64</v>
      </c>
      <c r="B67" s="31" t="inlineStr">
        <is>
          <t xml:space="preserve">    return { success: false, error: 'Email không được để trống' };</t>
        </is>
      </c>
    </row>
    <row r="68" ht="18" customHeight="1">
      <c r="A68" s="30" t="n">
        <v>65</v>
      </c>
      <c r="B68" s="31" t="inlineStr">
        <is>
          <t xml:space="preserve">  }</t>
        </is>
      </c>
    </row>
    <row r="69" ht="18" customHeight="1">
      <c r="A69" s="30" t="n">
        <v>66</v>
      </c>
      <c r="B69" s="31" t="inlineStr">
        <is>
          <t xml:space="preserve">  if (!password || String(password).trim() === '') {</t>
        </is>
      </c>
    </row>
    <row r="70" ht="18" customHeight="1">
      <c r="A70" s="30" t="n">
        <v>67</v>
      </c>
      <c r="B70" s="31" t="inlineStr">
        <is>
          <t xml:space="preserve">    return { success: false, error: 'Mật khẩu không được để trống' };</t>
        </is>
      </c>
    </row>
    <row r="71" ht="18" customHeight="1">
      <c r="A71" s="30" t="n">
        <v>68</v>
      </c>
      <c r="B71" s="31" t="inlineStr">
        <is>
          <t xml:space="preserve">  }</t>
        </is>
      </c>
    </row>
    <row r="72" ht="18" customHeight="1">
      <c r="A72" s="30" t="n">
        <v>69</v>
      </c>
      <c r="B72" s="31" t="inlineStr"/>
    </row>
    <row r="73" ht="18" customHeight="1">
      <c r="A73" s="30" t="n">
        <v>70</v>
      </c>
      <c r="B73" s="31" t="inlineStr">
        <is>
          <t xml:space="preserve">  const user = users.find(u =&gt; u.email.toLowerCase() === String(email).trim().toLowerCase());</t>
        </is>
      </c>
    </row>
    <row r="74" ht="18" customHeight="1">
      <c r="A74" s="30" t="n">
        <v>71</v>
      </c>
      <c r="B74" s="31" t="inlineStr">
        <is>
          <t xml:space="preserve">  if (!user) {</t>
        </is>
      </c>
    </row>
    <row r="75" ht="18" customHeight="1">
      <c r="A75" s="30" t="n">
        <v>72</v>
      </c>
      <c r="B75" s="31" t="inlineStr">
        <is>
          <t xml:space="preserve">    return { success: false, error: 'Email không tồn tại trên hệ thống' };</t>
        </is>
      </c>
    </row>
    <row r="76" ht="18" customHeight="1">
      <c r="A76" s="30" t="n">
        <v>73</v>
      </c>
      <c r="B76" s="31" t="inlineStr">
        <is>
          <t xml:space="preserve">  }</t>
        </is>
      </c>
    </row>
    <row r="77" ht="18" customHeight="1">
      <c r="A77" s="30" t="n">
        <v>74</v>
      </c>
      <c r="B77" s="31" t="inlineStr">
        <is>
          <t xml:space="preserve">  if (user.password !== password) {</t>
        </is>
      </c>
    </row>
    <row r="78" ht="18" customHeight="1">
      <c r="A78" s="30" t="n">
        <v>75</v>
      </c>
      <c r="B78" s="31" t="inlineStr">
        <is>
          <t xml:space="preserve">    return { success: false, error: 'Mật khẩu không chính xác' };</t>
        </is>
      </c>
    </row>
    <row r="79" ht="18" customHeight="1">
      <c r="A79" s="30" t="n">
        <v>76</v>
      </c>
      <c r="B79" s="31" t="inlineStr">
        <is>
          <t xml:space="preserve">  }</t>
        </is>
      </c>
    </row>
    <row r="80" ht="18" customHeight="1">
      <c r="A80" s="30" t="n">
        <v>77</v>
      </c>
      <c r="B80" s="31" t="inlineStr">
        <is>
          <t xml:space="preserve">  if (user.isBlocked) {</t>
        </is>
      </c>
    </row>
    <row r="81" ht="18" customHeight="1">
      <c r="A81" s="30" t="n">
        <v>78</v>
      </c>
      <c r="B81" s="31" t="inlineStr">
        <is>
          <t xml:space="preserve">    return { success: false, error: 'Tài khoản của bạn đang bị khóa do vi phạm quy chế' };</t>
        </is>
      </c>
    </row>
    <row r="82" ht="18" customHeight="1">
      <c r="A82" s="30" t="n">
        <v>79</v>
      </c>
      <c r="B82" s="31" t="inlineStr">
        <is>
          <t xml:space="preserve">  }</t>
        </is>
      </c>
    </row>
    <row r="83" ht="18" customHeight="1">
      <c r="A83" s="30" t="n">
        <v>80</v>
      </c>
      <c r="B83" s="31" t="inlineStr"/>
    </row>
    <row r="85" ht="24" customHeight="1">
      <c r="A85" s="29" t="inlineStr">
        <is>
          <t>2. MODULE 10: HÀM PHÂN TÁCH DANH SÁCH YÊU THÍCH (src/utils/favoriteUtils.js)</t>
        </is>
      </c>
    </row>
    <row r="86" ht="18" customHeight="1">
      <c r="A86" s="30" t="n">
        <v>1</v>
      </c>
      <c r="B86" s="31" t="inlineStr">
        <is>
          <t>/**</t>
        </is>
      </c>
    </row>
    <row r="87" ht="18" customHeight="1">
      <c r="A87" s="30" t="n">
        <v>2</v>
      </c>
      <c r="B87" s="31" t="inlineStr">
        <is>
          <t xml:space="preserve"> * Trả về storage key cho danh sách tài khoản yêu thích (thả tim) dựa trên tài khoản người dùng</t>
        </is>
      </c>
    </row>
    <row r="88" ht="18" customHeight="1">
      <c r="A88" s="30" t="n">
        <v>3</v>
      </c>
      <c r="B88" s="31" t="inlineStr">
        <is>
          <t xml:space="preserve"> * Đảm bảo tách riêng hoàn toàn dữ liệu giữa Quản lý (Admin), Khách hàng (User/Renter) và Khách vãng lai</t>
        </is>
      </c>
    </row>
    <row r="89" ht="18" customHeight="1">
      <c r="A89" s="30" t="n">
        <v>4</v>
      </c>
      <c r="B89" s="31" t="inlineStr">
        <is>
          <t xml:space="preserve"> * </t>
        </is>
      </c>
    </row>
    <row r="90" ht="18" customHeight="1">
      <c r="A90" s="30" t="n">
        <v>5</v>
      </c>
      <c r="B90" s="31" t="inlineStr">
        <is>
          <t xml:space="preserve"> * @param {Object|null} user - Thông tin người dùng hiện tại</t>
        </is>
      </c>
    </row>
    <row r="91" ht="18" customHeight="1">
      <c r="A91" s="30" t="n">
        <v>6</v>
      </c>
      <c r="B91" s="31" t="inlineStr">
        <is>
          <t xml:space="preserve"> * @returns {string} Key định danh localStorage tương ứng</t>
        </is>
      </c>
    </row>
    <row r="92" ht="18" customHeight="1">
      <c r="A92" s="30" t="n">
        <v>7</v>
      </c>
      <c r="B92" s="31" t="inlineStr">
        <is>
          <t xml:space="preserve"> */</t>
        </is>
      </c>
    </row>
    <row r="93" ht="18" customHeight="1">
      <c r="A93" s="30" t="n">
        <v>8</v>
      </c>
      <c r="B93" s="31" t="inlineStr">
        <is>
          <t>export const getFavoritesStorageKey = (user) =&gt; {</t>
        </is>
      </c>
    </row>
    <row r="94" ht="18" customHeight="1">
      <c r="A94" s="30" t="n">
        <v>9</v>
      </c>
      <c r="B94" s="31" t="inlineStr">
        <is>
          <t xml:space="preserve">  if (!user) return 'gamerent_fav_accounts_guest';</t>
        </is>
      </c>
    </row>
    <row r="95" ht="18" customHeight="1">
      <c r="A95" s="30" t="n">
        <v>10</v>
      </c>
      <c r="B95" s="31" t="inlineStr">
        <is>
          <t xml:space="preserve">  if (user.role === 'admin' || user.id === 'ADMIN-01') return 'gamerent_fav_accounts_admin';</t>
        </is>
      </c>
    </row>
    <row r="96" ht="18" customHeight="1">
      <c r="A96" s="30" t="n">
        <v>11</v>
      </c>
      <c r="B96" s="31" t="inlineStr">
        <is>
          <t xml:space="preserve">  return `gamerent_fav_accounts_${user.id || 'renter'}`;</t>
        </is>
      </c>
    </row>
    <row r="97" ht="18" customHeight="1">
      <c r="A97" s="30" t="n">
        <v>12</v>
      </c>
      <c r="B97" s="31" t="inlineStr">
        <is>
          <t>};</t>
        </is>
      </c>
    </row>
  </sheetData>
  <mergeCells count="95">
    <mergeCell ref="B8:G8"/>
    <mergeCell ref="B73:G73"/>
    <mergeCell ref="B88:G88"/>
    <mergeCell ref="B82:G82"/>
    <mergeCell ref="B10:G10"/>
    <mergeCell ref="B65:G65"/>
    <mergeCell ref="B74:G74"/>
    <mergeCell ref="B68:G68"/>
    <mergeCell ref="B5:G5"/>
    <mergeCell ref="B36:G36"/>
    <mergeCell ref="B76:G76"/>
    <mergeCell ref="B45:G45"/>
    <mergeCell ref="B47:G47"/>
    <mergeCell ref="B59:G59"/>
    <mergeCell ref="B22:G22"/>
    <mergeCell ref="B31:G31"/>
    <mergeCell ref="B12:G12"/>
    <mergeCell ref="B21:G21"/>
    <mergeCell ref="B86:G86"/>
    <mergeCell ref="B39:G39"/>
    <mergeCell ref="B14:G14"/>
    <mergeCell ref="B23:G23"/>
    <mergeCell ref="B13:G13"/>
    <mergeCell ref="B78:G78"/>
    <mergeCell ref="B87:G87"/>
    <mergeCell ref="B49:G49"/>
    <mergeCell ref="B64:G64"/>
    <mergeCell ref="B33:G33"/>
    <mergeCell ref="B51:G51"/>
    <mergeCell ref="A1:G1"/>
    <mergeCell ref="B63:G63"/>
    <mergeCell ref="B41:G41"/>
    <mergeCell ref="B35:G35"/>
    <mergeCell ref="B50:G50"/>
    <mergeCell ref="B91:G91"/>
    <mergeCell ref="B25:G25"/>
    <mergeCell ref="B66:G66"/>
    <mergeCell ref="A3:G3"/>
    <mergeCell ref="B27:G27"/>
    <mergeCell ref="B93:G93"/>
    <mergeCell ref="B77:G77"/>
    <mergeCell ref="B11:G11"/>
    <mergeCell ref="B67:G67"/>
    <mergeCell ref="B61:G61"/>
    <mergeCell ref="B29:G29"/>
    <mergeCell ref="B69:G69"/>
    <mergeCell ref="B38:G38"/>
    <mergeCell ref="B40:G40"/>
    <mergeCell ref="B15:G15"/>
    <mergeCell ref="B55:G55"/>
    <mergeCell ref="B24:G24"/>
    <mergeCell ref="B80:G80"/>
    <mergeCell ref="B95:G95"/>
    <mergeCell ref="B89:G89"/>
    <mergeCell ref="B79:G79"/>
    <mergeCell ref="B32:G32"/>
    <mergeCell ref="B26:G26"/>
    <mergeCell ref="B97:G97"/>
    <mergeCell ref="B7:G7"/>
    <mergeCell ref="B72:G72"/>
    <mergeCell ref="B16:G16"/>
    <mergeCell ref="B81:G81"/>
    <mergeCell ref="B90:G90"/>
    <mergeCell ref="B71:G71"/>
    <mergeCell ref="B43:G43"/>
    <mergeCell ref="B18:G18"/>
    <mergeCell ref="B58:G58"/>
    <mergeCell ref="B52:G52"/>
    <mergeCell ref="B42:G42"/>
    <mergeCell ref="B60:G60"/>
    <mergeCell ref="B17:G17"/>
    <mergeCell ref="B57:G57"/>
    <mergeCell ref="B44:G44"/>
    <mergeCell ref="B53:G53"/>
    <mergeCell ref="B19:G19"/>
    <mergeCell ref="B34:G34"/>
    <mergeCell ref="B28:G28"/>
    <mergeCell ref="B37:G37"/>
    <mergeCell ref="B9:G9"/>
    <mergeCell ref="B83:G83"/>
    <mergeCell ref="B92:G92"/>
    <mergeCell ref="B30:G30"/>
    <mergeCell ref="B6:G6"/>
    <mergeCell ref="B20:G20"/>
    <mergeCell ref="B94:G94"/>
    <mergeCell ref="B4:G4"/>
    <mergeCell ref="B75:G75"/>
    <mergeCell ref="B62:G62"/>
    <mergeCell ref="B54:G54"/>
    <mergeCell ref="B46:G46"/>
    <mergeCell ref="B56:G56"/>
    <mergeCell ref="B96:G96"/>
    <mergeCell ref="B70:G70"/>
    <mergeCell ref="B48:G48"/>
    <mergeCell ref="A85:G8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2026-10-02T09:08:55Z</dcterms:created>
  <dcterms:modified xmlns:dcterms="http://purl.org/dc/terms/" xmlns:xsi="http://www.w3.org/2001/XMLSchema-instance" xsi:type="dcterms:W3CDTF">2026-10-02T09:08:55Z</dcterms:modified>
</cp:coreProperties>
</file>