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worksheets/sheet9.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Business_Process_Flow" sheetId="2" state="visible" r:id="rId2"/>
    <sheet xmlns:r="http://schemas.openxmlformats.org/officeDocument/2006/relationships" name="Test Case List" sheetId="3" state="visible" r:id="rId3"/>
    <sheet xmlns:r="http://schemas.openxmlformats.org/officeDocument/2006/relationships" name="ST_User_Journey" sheetId="4" state="visible" r:id="rId4"/>
    <sheet xmlns:r="http://schemas.openxmlformats.org/officeDocument/2006/relationships" name="ST_Rental_Lifecycle" sheetId="5" state="visible" r:id="rId5"/>
    <sheet xmlns:r="http://schemas.openxmlformats.org/officeDocument/2006/relationships" name="ST_Dispute_Refund" sheetId="6" state="visible" r:id="rId6"/>
    <sheet xmlns:r="http://schemas.openxmlformats.org/officeDocument/2006/relationships" name="ST_Admin_Security" sheetId="7" state="visible" r:id="rId7"/>
    <sheet xmlns:r="http://schemas.openxmlformats.org/officeDocument/2006/relationships" name="Test Report" sheetId="8" state="visible" r:id="rId8"/>
    <sheet xmlns:r="http://schemas.openxmlformats.org/officeDocument/2006/relationships" name="Wireframe" sheetId="9" state="visible" r:id="rId9"/>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Tahoma"/>
      <b val="1"/>
      <color rgb="00000000"/>
      <sz val="18"/>
    </font>
    <font>
      <name val="Tahoma"/>
      <b val="1"/>
      <color rgb="00000000"/>
      <sz val="10"/>
    </font>
    <font>
      <name val="Tahoma"/>
      <color rgb="00000000"/>
      <sz val="10"/>
    </font>
    <font>
      <name val="Tahoma"/>
      <b val="1"/>
      <color rgb="00000000"/>
      <sz val="11"/>
    </font>
    <font>
      <name val="Tahoma"/>
      <b val="1"/>
      <color rgb="00FFFFFF"/>
      <sz val="10"/>
    </font>
    <font>
      <name val="Tahoma"/>
      <color rgb="00333333"/>
      <sz val="9"/>
    </font>
    <font>
      <name val="Tahoma"/>
      <b val="1"/>
      <color rgb="00000000"/>
      <sz val="14"/>
    </font>
    <font>
      <name val="Tahoma"/>
      <i val="1"/>
      <color rgb="00006100"/>
      <sz val="10"/>
    </font>
    <font>
      <name val="Tahoma"/>
      <color rgb="000563C1"/>
      <sz val="10"/>
      <u val="single"/>
    </font>
    <font>
      <name val="Tahoma"/>
      <b val="1"/>
      <color rgb="00006100"/>
      <sz val="10"/>
    </font>
  </fonts>
  <fills count="5">
    <fill>
      <patternFill/>
    </fill>
    <fill>
      <patternFill patternType="gray125"/>
    </fill>
    <fill>
      <patternFill patternType="solid">
        <fgColor rgb="00002060"/>
        <bgColor rgb="00002060"/>
      </patternFill>
    </fill>
    <fill>
      <patternFill patternType="solid">
        <fgColor rgb="00D9E1F2"/>
        <bgColor rgb="00D9E1F2"/>
      </patternFill>
    </fill>
    <fill>
      <patternFill patternType="solid">
        <fgColor rgb="00C6EFCE"/>
        <bgColor rgb="00C6EFCE"/>
      </patternFill>
    </fill>
  </fills>
  <borders count="10">
    <border>
      <left/>
      <right/>
      <top/>
      <bottom/>
      <diagonal/>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
      <left style="thin">
        <color rgb="00000000"/>
      </left>
      <right style="thin">
        <color rgb="00000000"/>
      </right>
      <top style="thin">
        <color rgb="00000000"/>
      </top>
      <bottom style="thin">
        <color rgb="00000000"/>
      </bottom>
    </border>
    <border>
      <left style="thin">
        <color rgb="00D9D9D9"/>
      </left>
      <right style="thin">
        <color rgb="00D9D9D9"/>
      </right>
      <top style="thin">
        <color rgb="00D9D9D9"/>
      </top>
      <bottom style="thin">
        <color rgb="00D9D9D9"/>
      </bottom>
    </border>
    <border>
      <left style="thin">
        <color rgb="00000000"/>
      </left>
      <right style="thin">
        <color rgb="00000000"/>
      </right>
      <top style="thin">
        <color rgb="00000000"/>
      </top>
      <bottom style="double">
        <color rgb="00000000"/>
      </bottom>
    </border>
  </borders>
  <cellStyleXfs count="1">
    <xf numFmtId="0" fontId="0" fillId="0" borderId="0"/>
  </cellStyleXfs>
  <cellXfs count="43">
    <xf numFmtId="0" fontId="0" fillId="0" borderId="0" pivotButton="0" quotePrefix="0" xfId="0"/>
    <xf numFmtId="0" fontId="1" fillId="0" borderId="1" applyAlignment="1" pivotButton="0" quotePrefix="0" xfId="0">
      <alignment horizontal="center" vertical="center"/>
    </xf>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6" pivotButton="0" quotePrefix="0" xfId="0"/>
    <xf numFmtId="0" fontId="2" fillId="0" borderId="7" pivotButton="0" quotePrefix="0" xfId="0"/>
    <xf numFmtId="0" fontId="3" fillId="0" borderId="7" pivotButton="0" quotePrefix="0" xfId="0"/>
    <xf numFmtId="0" fontId="0" fillId="0" borderId="7" pivotButton="0" quotePrefix="0" xfId="0"/>
    <xf numFmtId="0" fontId="4" fillId="0" borderId="0" pivotButton="0" quotePrefix="0" xfId="0"/>
    <xf numFmtId="0" fontId="5" fillId="2" borderId="7" applyAlignment="1" pivotButton="0" quotePrefix="0" xfId="0">
      <alignment horizontal="center" vertical="center" wrapText="1"/>
    </xf>
    <xf numFmtId="0" fontId="3" fillId="0" borderId="7" applyAlignment="1" pivotButton="0" quotePrefix="0" xfId="0">
      <alignment horizontal="center" vertical="center" wrapText="1"/>
    </xf>
    <xf numFmtId="0" fontId="3" fillId="0" borderId="7" applyAlignment="1" pivotButton="0" quotePrefix="0" xfId="0">
      <alignment horizontal="left" vertical="center" wrapText="1"/>
    </xf>
    <xf numFmtId="0" fontId="6" fillId="0" borderId="0" pivotButton="0" quotePrefix="0" xfId="0"/>
    <xf numFmtId="0" fontId="7" fillId="0" borderId="0" pivotButton="0" quotePrefix="0" xfId="0"/>
    <xf numFmtId="0" fontId="8" fillId="0" borderId="0" pivotButton="0" quotePrefix="0" xfId="0"/>
    <xf numFmtId="0" fontId="4" fillId="3" borderId="0" pivotButton="0" quotePrefix="0" xfId="0"/>
    <xf numFmtId="0" fontId="2" fillId="0" borderId="8" applyAlignment="1" pivotButton="0" quotePrefix="0" xfId="0">
      <alignment horizontal="center" vertical="center"/>
    </xf>
    <xf numFmtId="0" fontId="3" fillId="0" borderId="8" applyAlignment="1" pivotButton="0" quotePrefix="0" xfId="0">
      <alignment horizontal="left" vertical="center" wrapText="1"/>
    </xf>
    <xf numFmtId="0" fontId="0" fillId="0" borderId="8" pivotButton="0" quotePrefix="0" xfId="0"/>
    <xf numFmtId="0" fontId="7" fillId="0" borderId="0" applyAlignment="1" pivotButton="0" quotePrefix="0" xfId="0">
      <alignment horizontal="center" vertical="center"/>
    </xf>
    <xf numFmtId="0" fontId="2" fillId="0" borderId="7" applyAlignment="1" pivotButton="0" quotePrefix="0" xfId="0">
      <alignment vertical="top" wrapText="1"/>
    </xf>
    <xf numFmtId="0" fontId="8" fillId="0" borderId="7" applyAlignment="1" pivotButton="0" quotePrefix="0" xfId="0">
      <alignment vertical="top" wrapText="1"/>
    </xf>
    <xf numFmtId="0" fontId="5" fillId="2" borderId="7" applyAlignment="1" pivotButton="0" quotePrefix="0" xfId="0">
      <alignment horizontal="center" vertical="center"/>
    </xf>
    <xf numFmtId="0" fontId="2" fillId="0" borderId="7" applyAlignment="1" pivotButton="0" quotePrefix="0" xfId="0">
      <alignment horizontal="center" vertical="center"/>
    </xf>
    <xf numFmtId="0" fontId="2" fillId="0" borderId="7" applyAlignment="1" pivotButton="0" quotePrefix="0" xfId="0">
      <alignment horizontal="left" vertical="center"/>
    </xf>
    <xf numFmtId="0" fontId="9" fillId="0" borderId="7" applyAlignment="1" pivotButton="0" quotePrefix="0" xfId="0">
      <alignment horizontal="center" vertical="center"/>
    </xf>
    <xf numFmtId="0" fontId="8" fillId="0" borderId="7" pivotButton="0" quotePrefix="0" xfId="0"/>
    <xf numFmtId="0" fontId="2" fillId="0" borderId="8" applyAlignment="1" pivotButton="0" quotePrefix="0" xfId="0">
      <alignment horizontal="center" vertical="top"/>
    </xf>
    <xf numFmtId="0" fontId="3" fillId="0" borderId="8" applyAlignment="1" pivotButton="0" quotePrefix="0" xfId="0">
      <alignment horizontal="left" vertical="top" wrapText="1"/>
    </xf>
    <xf numFmtId="0" fontId="10" fillId="4" borderId="8" applyAlignment="1" pivotButton="0" quotePrefix="0" xfId="0">
      <alignment horizontal="center" vertical="top"/>
    </xf>
    <xf numFmtId="0" fontId="3" fillId="0" borderId="8" applyAlignment="1" pivotButton="0" quotePrefix="0" xfId="0">
      <alignment horizontal="center" vertical="top"/>
    </xf>
    <xf numFmtId="0" fontId="6" fillId="0" borderId="8" applyAlignment="1" pivotButton="0" quotePrefix="0" xfId="0">
      <alignment horizontal="left" vertical="top" wrapText="1"/>
    </xf>
    <xf numFmtId="0" fontId="3" fillId="0" borderId="7" applyAlignment="1" pivotButton="0" quotePrefix="0" xfId="0">
      <alignment vertical="top" wrapText="1"/>
    </xf>
    <xf numFmtId="0" fontId="0" fillId="0" borderId="7" applyAlignment="1" pivotButton="0" quotePrefix="0" xfId="0">
      <alignment horizontal="center" vertical="center"/>
    </xf>
    <xf numFmtId="10" fontId="2" fillId="0" borderId="7" applyAlignment="1" pivotButton="0" quotePrefix="0" xfId="0">
      <alignment horizontal="center" vertical="center"/>
    </xf>
    <xf numFmtId="0" fontId="5" fillId="2" borderId="9" applyAlignment="1" pivotButton="0" quotePrefix="0" xfId="0">
      <alignment horizontal="center" vertical="center"/>
    </xf>
    <xf numFmtId="10" fontId="5" fillId="2" borderId="9" applyAlignment="1" pivotButton="0" quotePrefix="0" xfId="0">
      <alignment horizontal="center" vertical="center"/>
    </xf>
    <xf numFmtId="0" fontId="2" fillId="0" borderId="0" pivotButton="0" quotePrefix="0" xfId="0"/>
    <xf numFmtId="10" fontId="10" fillId="0" borderId="0" applyAlignment="1" pivotButton="0" quotePrefix="0" xfId="0">
      <alignment horizontal="right"/>
    </xf>
    <xf numFmtId="0" fontId="3" fillId="0" borderId="7" applyAlignment="1" pivotButton="0" quotePrefix="0" xfId="0">
      <alignment horizontal="center"/>
    </xf>
    <xf numFmtId="0" fontId="3"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Execution Status</a:t>
            </a:r>
          </a:p>
        </rich>
      </tx>
    </title>
    <plotArea>
      <pieChart>
        <varyColors val="1"/>
        <ser>
          <idx val="0"/>
          <order val="0"/>
          <tx>
            <strRef>
              <f>'Test Report'!K2</f>
            </strRef>
          </tx>
          <spPr>
            <a:ln xmlns:a="http://schemas.openxmlformats.org/drawingml/2006/main">
              <a:prstDash val="solid"/>
            </a:ln>
          </spPr>
          <cat>
            <numRef>
              <f>'Test Report'!$J$3:$J$6</f>
            </numRef>
          </cat>
          <val>
            <numRef>
              <f>'Test Report'!$K$3:$K$6</f>
            </numRef>
          </val>
        </ser>
        <dLbls>
          <showVal val="0"/>
          <showPercent val="1"/>
        </dLbls>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9</col>
      <colOff>0</colOff>
      <row>7</row>
      <rowOff>0</rowOff>
    </from>
    <ext cx="5040000" cy="30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1</col>
      <colOff>0</colOff>
      <row>3</row>
      <rowOff>0</rowOff>
    </from>
    <ext cx="4381500" cy="3429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ST_User_Journey'!A1" TargetMode="External" Id="rId1"/><Relationship Type="http://schemas.openxmlformats.org/officeDocument/2006/relationships/hyperlink" Target="#'ST_Rental_Lifecycle'!A1" TargetMode="External" Id="rId2"/><Relationship Type="http://schemas.openxmlformats.org/officeDocument/2006/relationships/hyperlink" Target="#'ST_Dispute_Refund'!A1" TargetMode="External" Id="rId3"/><Relationship Type="http://schemas.openxmlformats.org/officeDocument/2006/relationships/hyperlink" Target="#'ST_Admin_Security'!A1" TargetMode="External" Id="rId4"/></Relationships>
</file>

<file path=xl/worksheets/_rels/sheet8.xml.rels><Relationships xmlns="http://schemas.openxmlformats.org/package/2006/relationships"><Relationship Type="http://schemas.openxmlformats.org/officeDocument/2006/relationships/drawing" Target="/xl/drawings/drawing1.xml" Id="rId1"/></Relationships>
</file>

<file path=xl/worksheets/_rels/sheet9.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B2:K16"/>
  <sheetViews>
    <sheetView showGridLines="1" workbookViewId="0">
      <selection activeCell="A1" sqref="A1"/>
    </sheetView>
  </sheetViews>
  <sheetFormatPr baseColWidth="8" defaultRowHeight="15"/>
  <cols>
    <col width="4" customWidth="1" min="1" max="1"/>
    <col width="16" customWidth="1" min="2" max="2"/>
    <col width="10" customWidth="1" min="3" max="3"/>
    <col width="32" customWidth="1" min="4" max="4"/>
    <col width="10" customWidth="1" min="5" max="5"/>
    <col width="18" customWidth="1" min="6" max="6"/>
    <col width="22" customWidth="1" min="7" max="7"/>
    <col width="14" customWidth="1" min="8" max="8"/>
    <col width="10" customWidth="1" min="9" max="9"/>
    <col width="38" customWidth="1" min="10" max="10"/>
    <col width="20" customWidth="1" min="11" max="11"/>
  </cols>
  <sheetData>
    <row r="2">
      <c r="B2" s="1" t="inlineStr">
        <is>
          <t>TEST CASE</t>
        </is>
      </c>
      <c r="C2" s="2" t="n"/>
      <c r="D2" s="2" t="n"/>
      <c r="E2" s="2" t="n"/>
      <c r="F2" s="3" t="n"/>
    </row>
    <row r="3">
      <c r="B3" s="4" t="n"/>
      <c r="C3" s="5" t="n"/>
      <c r="D3" s="5" t="n"/>
      <c r="E3" s="5" t="n"/>
      <c r="F3" s="6" t="n"/>
    </row>
    <row r="5">
      <c r="B5" s="7" t="inlineStr">
        <is>
          <t>Project Name</t>
        </is>
      </c>
      <c r="C5" s="8" t="inlineStr">
        <is>
          <t>Hệ thống Cho thuê tài khoản game (GameRent)</t>
        </is>
      </c>
      <c r="D5" s="9" t="n"/>
      <c r="E5" s="9" t="n"/>
      <c r="F5" s="9" t="n"/>
    </row>
    <row r="6">
      <c r="B6" s="7" t="inlineStr">
        <is>
          <t>Project Code</t>
        </is>
      </c>
      <c r="C6" s="8" t="inlineStr">
        <is>
          <t>GAMERENT_BTL</t>
        </is>
      </c>
      <c r="D6" s="9" t="n"/>
      <c r="E6" s="9" t="n"/>
      <c r="F6" s="9" t="n"/>
    </row>
    <row r="7">
      <c r="B7" s="7" t="inlineStr">
        <is>
          <t>Document Code</t>
        </is>
      </c>
      <c r="C7" s="8" t="inlineStr">
        <is>
          <t>GAMERENT_ST_v1.0</t>
        </is>
      </c>
      <c r="D7" s="9" t="n"/>
      <c r="E7" s="9" t="n"/>
      <c r="F7" s="9" t="n"/>
    </row>
    <row r="9">
      <c r="B9" s="10" t="inlineStr">
        <is>
          <t>Record of change</t>
        </is>
      </c>
    </row>
    <row r="10" ht="25" customHeight="1">
      <c r="B10" s="11" t="inlineStr">
        <is>
          <t>Effective Date</t>
        </is>
      </c>
      <c r="C10" s="11" t="inlineStr">
        <is>
          <t>Version</t>
        </is>
      </c>
      <c r="D10" s="11" t="inlineStr">
        <is>
          <t>Change Item</t>
        </is>
      </c>
      <c r="E10" s="11" t="inlineStr">
        <is>
          <t>*A,D,M</t>
        </is>
      </c>
      <c r="F10" s="11" t="inlineStr">
        <is>
          <t>Creator</t>
        </is>
      </c>
      <c r="G10" s="11" t="inlineStr">
        <is>
          <t>Reviewer/Approver</t>
        </is>
      </c>
      <c r="H10" s="11" t="inlineStr">
        <is>
          <t>Issue Date</t>
        </is>
      </c>
      <c r="I10" s="11" t="inlineStr">
        <is>
          <t>Version</t>
        </is>
      </c>
      <c r="J10" s="11" t="inlineStr">
        <is>
          <t>Change description</t>
        </is>
      </c>
      <c r="K10" s="11" t="inlineStr">
        <is>
          <t>Reference</t>
        </is>
      </c>
    </row>
    <row r="11" ht="24" customHeight="1">
      <c r="B11" s="12" t="inlineStr">
        <is>
          <t>10/09/2026</t>
        </is>
      </c>
      <c r="C11" s="12" t="inlineStr">
        <is>
          <t>0.1</t>
        </is>
      </c>
      <c r="D11" s="13" t="inlineStr">
        <is>
          <t>Khởi tạo tài liệu và phác thảo các kịch bản kiểm thử hệ thống E2E</t>
        </is>
      </c>
      <c r="E11" s="12" t="inlineStr">
        <is>
          <t>A</t>
        </is>
      </c>
      <c r="F11" s="13" t="inlineStr">
        <is>
          <t>Lê Minh Quân</t>
        </is>
      </c>
      <c r="G11" s="13" t="inlineStr">
        <is>
          <t>ThS. Phạm Thị Loan</t>
        </is>
      </c>
      <c r="H11" s="12" t="inlineStr">
        <is>
          <t>10/09/2026</t>
        </is>
      </c>
      <c r="I11" s="12" t="inlineStr">
        <is>
          <t>0.1</t>
        </is>
      </c>
      <c r="J11" s="13" t="inlineStr">
        <is>
          <t>Soạn thảo ban đầu</t>
        </is>
      </c>
      <c r="K11" s="13" t="inlineStr">
        <is>
          <t>SRS_GameRent_v1.0</t>
        </is>
      </c>
    </row>
    <row r="12" ht="24" customHeight="1">
      <c r="B12" s="12" t="inlineStr">
        <is>
          <t>16/09/2026</t>
        </is>
      </c>
      <c r="C12" s="12" t="inlineStr">
        <is>
          <t>1.0</t>
        </is>
      </c>
      <c r="D12" s="13" t="inlineStr">
        <is>
          <t>Hoàn thiện 100% System Test Cases E2E, Test Report &amp; Wireframe</t>
        </is>
      </c>
      <c r="E12" s="12" t="inlineStr">
        <is>
          <t>M</t>
        </is>
      </c>
      <c r="F12" s="13" t="inlineStr">
        <is>
          <t>Lê Minh Quân</t>
        </is>
      </c>
      <c r="G12" s="13" t="inlineStr">
        <is>
          <t>ThS. Phạm Thị Loan</t>
        </is>
      </c>
      <c r="H12" s="12" t="inlineStr">
        <is>
          <t>16/09/2026</t>
        </is>
      </c>
      <c r="I12" s="12" t="inlineStr">
        <is>
          <t>1.0</t>
        </is>
      </c>
      <c r="J12" s="13" t="inlineStr">
        <is>
          <t>Thiết kế và thực thi đầy đủ 14 ca kiểm thử E2E toàn trình, nghiệm thu Pass 100%</t>
        </is>
      </c>
      <c r="K12" s="13" t="inlineStr">
        <is>
          <t>BTL_KTPM_Final</t>
        </is>
      </c>
    </row>
    <row r="13" ht="24" customHeight="1">
      <c r="B13" s="12" t="inlineStr"/>
      <c r="C13" s="12" t="inlineStr"/>
      <c r="D13" s="13" t="inlineStr"/>
      <c r="E13" s="12" t="inlineStr"/>
      <c r="F13" s="13" t="inlineStr"/>
      <c r="G13" s="13" t="inlineStr"/>
      <c r="H13" s="12" t="inlineStr"/>
      <c r="I13" s="12" t="inlineStr"/>
      <c r="J13" s="13" t="inlineStr"/>
      <c r="K13" s="13" t="inlineStr"/>
    </row>
    <row r="14" ht="24" customHeight="1">
      <c r="B14" s="12" t="inlineStr"/>
      <c r="C14" s="12" t="inlineStr"/>
      <c r="D14" s="13" t="inlineStr"/>
      <c r="E14" s="12" t="inlineStr"/>
      <c r="F14" s="13" t="inlineStr"/>
      <c r="G14" s="13" t="inlineStr"/>
      <c r="H14" s="12" t="inlineStr"/>
      <c r="I14" s="12" t="inlineStr"/>
      <c r="J14" s="13" t="inlineStr"/>
      <c r="K14" s="13" t="inlineStr"/>
    </row>
    <row r="16">
      <c r="B16" s="14" t="inlineStr">
        <is>
          <t>* A: Add, D: Delete, M: Modify</t>
        </is>
      </c>
    </row>
  </sheetData>
  <mergeCells count="4">
    <mergeCell ref="C6:F6"/>
    <mergeCell ref="C5:F5"/>
    <mergeCell ref="C7:F7"/>
    <mergeCell ref="B2: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H28"/>
  <sheetViews>
    <sheetView showGridLines="1" workbookViewId="0">
      <selection activeCell="A1" sqref="A1"/>
    </sheetView>
  </sheetViews>
  <sheetFormatPr baseColWidth="8" defaultRowHeight="15"/>
  <cols>
    <col width="4" customWidth="1" min="1" max="1"/>
    <col width="12" customWidth="1" min="2" max="2"/>
    <col width="20" customWidth="1" min="3" max="3"/>
    <col width="20" customWidth="1" min="4" max="4"/>
    <col width="20" customWidth="1" min="5" max="5"/>
    <col width="20" customWidth="1" min="6" max="6"/>
    <col width="20" customWidth="1" min="7" max="7"/>
    <col width="20" customWidth="1" min="8" max="8"/>
  </cols>
  <sheetData>
    <row r="2">
      <c r="B2" s="15" t="inlineStr">
        <is>
          <t>QUY TRÌNH NGHIỆP VỤ HỆ THỐNG KIỂM THỬ E2E (SYSTEM TESTING WORKFLOWS)</t>
        </is>
      </c>
    </row>
    <row r="3">
      <c r="B3" s="16" t="inlineStr">
        <is>
          <t>Hệ thống Cho thuê tài khoản game trực tuyến tự động (GameRent) - Mô hình hóa luồng quy trình tổng thể</t>
        </is>
      </c>
    </row>
    <row r="5">
      <c r="B5" s="17" t="inlineStr">
        <is>
          <t>1. Quy trình Chu trình Thuê tài khoản game hoàn chỉnh (STC-SCN-JOURNEY)</t>
        </is>
      </c>
    </row>
    <row r="6" ht="24" customHeight="1">
      <c r="B6" s="18" t="inlineStr">
        <is>
          <t>Bước 1:</t>
        </is>
      </c>
      <c r="C6" s="19" t="inlineStr">
        <is>
          <t>Khách hàng mới đăng ký tài khoản (Họ tên, Email, Mật khẩu) và đăng nhập vào hệ thống GameRent thành công.</t>
        </is>
      </c>
      <c r="D6" s="20" t="n"/>
      <c r="E6" s="20" t="n"/>
      <c r="F6" s="20" t="n"/>
      <c r="G6" s="20" t="n"/>
      <c r="H6" s="20" t="n"/>
    </row>
    <row r="7" ht="24" customHeight="1">
      <c r="B7" s="18" t="inlineStr">
        <is>
          <t>Bước 2:</t>
        </is>
      </c>
      <c r="C7" s="19" t="inlineStr">
        <is>
          <t>Khách hàng nạp tiền vào ví điện tử thông qua tính năng quét mã VietQR tự động (MBBank), hệ thống xác nhận và cộng tiền tức thời.</t>
        </is>
      </c>
      <c r="D7" s="20" t="n"/>
      <c r="E7" s="20" t="n"/>
      <c r="F7" s="20" t="n"/>
      <c r="G7" s="20" t="n"/>
      <c r="H7" s="20" t="n"/>
    </row>
    <row r="8" ht="24" customHeight="1">
      <c r="B8" s="18" t="inlineStr">
        <is>
          <t>Bước 3:</t>
        </is>
      </c>
      <c r="C8" s="19" t="inlineStr">
        <is>
          <t>Khách hàng duyệt kho tài khoản game (LMHT, Valorant, FO4), sử dụng bộ lọc tìm kiếm theo Game, Bậc Rank và Khoảng giá.</t>
        </is>
      </c>
      <c r="D8" s="20" t="n"/>
      <c r="E8" s="20" t="n"/>
      <c r="F8" s="20" t="n"/>
      <c r="G8" s="20" t="n"/>
      <c r="H8" s="20" t="n"/>
    </row>
    <row r="9" ht="24" customHeight="1">
      <c r="B9" s="18" t="inlineStr">
        <is>
          <t>Bước 4:</t>
        </is>
      </c>
      <c r="C9" s="19" t="inlineStr">
        <is>
          <t>Khách hàng mở modal xem thông tin chi tiết nick, chọn thời lượng thuê (1h - 48h) và bấm [Xác Nhận Thuê].</t>
        </is>
      </c>
      <c r="D9" s="20" t="n"/>
      <c r="E9" s="20" t="n"/>
      <c r="F9" s="20" t="n"/>
      <c r="G9" s="20" t="n"/>
      <c r="H9" s="20" t="n"/>
    </row>
    <row r="10" ht="24" customHeight="1">
      <c r="B10" s="18" t="inlineStr">
        <is>
          <t>Bước 5:</t>
        </is>
      </c>
      <c r="C10" s="19" t="inlineStr">
        <is>
          <t>Hệ thống kiểm tra số dư ví, trừ tiền, sinh đơn hàng, hiển thị thông tin tài khoản/mật khẩu in-game và kích hoạt đồng hồ đếm ngược CountdownTimer.</t>
        </is>
      </c>
      <c r="D10" s="20" t="n"/>
      <c r="E10" s="20" t="n"/>
      <c r="F10" s="20" t="n"/>
      <c r="G10" s="20" t="n"/>
      <c r="H10" s="20" t="n"/>
    </row>
    <row r="12">
      <c r="B12" s="17" t="inlineStr">
        <is>
          <t>2. Quy trình Quản lý Vòng đời ca thuê: Gia hạn &amp; Trả nick sớm (STC-SCN-LIFECYCLE)</t>
        </is>
      </c>
    </row>
    <row r="13" ht="24" customHeight="1">
      <c r="B13" s="18" t="inlineStr">
        <is>
          <t>Bước 1:</t>
        </is>
      </c>
      <c r="C13" s="19" t="inlineStr">
        <is>
          <t>Khách hàng theo dõi thời gian chơi còn lại thời gian thực thông qua đồng hồ CountdownTimer tại trang My Rentals.</t>
        </is>
      </c>
      <c r="D13" s="20" t="n"/>
      <c r="E13" s="20" t="n"/>
      <c r="F13" s="20" t="n"/>
      <c r="G13" s="20" t="n"/>
      <c r="H13" s="20" t="n"/>
    </row>
    <row r="14" ht="24" customHeight="1">
      <c r="B14" s="18" t="inlineStr">
        <is>
          <t>Bước 2:</t>
        </is>
      </c>
      <c r="C14" s="19" t="inlineStr">
        <is>
          <t>Khi sắp hết giờ, khách hàng bấm [Gia Hạn Thêm Giờ]; hệ thống trừ ví và tự động cộng nối tiếp thời gian kết thúc (expiresAt).</t>
        </is>
      </c>
      <c r="D14" s="20" t="n"/>
      <c r="E14" s="20" t="n"/>
      <c r="F14" s="20" t="n"/>
      <c r="G14" s="20" t="n"/>
      <c r="H14" s="20" t="n"/>
    </row>
    <row r="15" ht="24" customHeight="1">
      <c r="B15" s="18" t="inlineStr">
        <is>
          <t>Bước 3:</t>
        </is>
      </c>
      <c r="C15" s="19" t="inlineStr">
        <is>
          <t>Khách hàng có việc bận đột xuất, bấm [Trả Nick Sớm]; hệ thống tính số giờ chưa chơi, hoàn lại 50% tiền vào ví và thu hồi mật khẩu in-game.</t>
        </is>
      </c>
      <c r="D15" s="20" t="n"/>
      <c r="E15" s="20" t="n"/>
      <c r="F15" s="20" t="n"/>
      <c r="G15" s="20" t="n"/>
      <c r="H15" s="20" t="n"/>
    </row>
    <row r="16" ht="24" customHeight="1">
      <c r="B16" s="18" t="inlineStr">
        <is>
          <t>Bước 4:</t>
        </is>
      </c>
      <c r="C16" s="19" t="inlineStr">
        <is>
          <t>Nếu khách chơi hết giờ (Countdown về 00:00:00), hệ thống tự động kết thúc đơn, ẩn mật khẩu và chuyển nick sang trạng thái chờ đổi pass thu hồi.</t>
        </is>
      </c>
      <c r="D16" s="20" t="n"/>
      <c r="E16" s="20" t="n"/>
      <c r="F16" s="20" t="n"/>
      <c r="G16" s="20" t="n"/>
      <c r="H16" s="20" t="n"/>
    </row>
    <row r="18">
      <c r="B18" s="17" t="inlineStr">
        <is>
          <t>3. Quy trình Xử lý Khiếu nại sự cố &amp; Bảo hiểm Hoàn tiền 100% (STC-SCN-DISPUTE)</t>
        </is>
      </c>
    </row>
    <row r="19" ht="24" customHeight="1">
      <c r="B19" s="18" t="inlineStr">
        <is>
          <t>Bước 1:</t>
        </is>
      </c>
      <c r="C19" s="19" t="inlineStr">
        <is>
          <t>Khách hàng gặp sự cố (sai mật khẩu, nick bị khóa, sai thông tin rank), gửi khiếu nại qua form [Báo Sự Cố / Khiếu Nại] trong 15 phút đầu.</t>
        </is>
      </c>
      <c r="D19" s="20" t="n"/>
      <c r="E19" s="20" t="n"/>
      <c r="F19" s="20" t="n"/>
      <c r="G19" s="20" t="n"/>
      <c r="H19" s="20" t="n"/>
    </row>
    <row r="20" ht="24" customHeight="1">
      <c r="B20" s="18" t="inlineStr">
        <is>
          <t>Bước 2:</t>
        </is>
      </c>
      <c r="C20" s="19" t="inlineStr">
        <is>
          <t>Hệ thống tiếp nhận khiếu nại, sinh mã #DISP-XXX, gắn nhãn cảnh báo lên đơn hàng và chuyển trạng thái sang 'pending'.</t>
        </is>
      </c>
      <c r="D20" s="20" t="n"/>
      <c r="E20" s="20" t="n"/>
      <c r="F20" s="20" t="n"/>
      <c r="G20" s="20" t="n"/>
      <c r="H20" s="20" t="n"/>
    </row>
    <row r="21" ht="24" customHeight="1">
      <c r="B21" s="18" t="inlineStr">
        <is>
          <t>Bước 3:</t>
        </is>
      </c>
      <c r="C21" s="19" t="inlineStr">
        <is>
          <t>Quản trị viên (Admin) truy cập trang quản trị đối soát thông tin sự cố thực tế với dữ liệu hệ thống.</t>
        </is>
      </c>
      <c r="D21" s="20" t="n"/>
      <c r="E21" s="20" t="n"/>
      <c r="F21" s="20" t="n"/>
      <c r="G21" s="20" t="n"/>
      <c r="H21" s="20" t="n"/>
    </row>
    <row r="22" ht="24" customHeight="1">
      <c r="B22" s="18" t="inlineStr">
        <is>
          <t>Bước 4:</t>
        </is>
      </c>
      <c r="C22" s="19" t="inlineStr">
        <is>
          <t>Admin bấm [Phê Duyệt Khiếu Nại]; hệ thống tự động hoàn lại đúng 100% chi phí đơn vào ví khách, đồng thời đưa nick vào trạng thái bảo trì.</t>
        </is>
      </c>
      <c r="D22" s="20" t="n"/>
      <c r="E22" s="20" t="n"/>
      <c r="F22" s="20" t="n"/>
      <c r="G22" s="20" t="n"/>
      <c r="H22" s="20" t="n"/>
    </row>
    <row r="24">
      <c r="B24" s="17" t="inlineStr">
        <is>
          <t>4. Quy trình Quản trị Kho UC1 &amp; An toàn bảo mật phân quyền RBAC (STC-SCN-ADMIN-SEC)</t>
        </is>
      </c>
    </row>
    <row r="25" ht="24" customHeight="1">
      <c r="B25" s="18" t="inlineStr">
        <is>
          <t>Bước 1:</t>
        </is>
      </c>
      <c r="C25" s="19" t="inlineStr">
        <is>
          <t>Admin đăng nhập vào hệ thống và truy cập phân hệ Quản trị kho tài khoản (/admin/warehouse).</t>
        </is>
      </c>
      <c r="D25" s="20" t="n"/>
      <c r="E25" s="20" t="n"/>
      <c r="F25" s="20" t="n"/>
      <c r="G25" s="20" t="n"/>
      <c r="H25" s="20" t="n"/>
    </row>
    <row r="26" ht="24" customHeight="1">
      <c r="B26" s="18" t="inlineStr">
        <is>
          <t>Bước 2:</t>
        </is>
      </c>
      <c r="C26" s="19" t="inlineStr">
        <is>
          <t>Admin thêm nick mới tuân thủ nghiêm ngặt đặc tả biểu mẫu UC1 (Mã SP 8-30 ký tự, Tên 10-50 ký tự, Upload ảnh &lt;= 1MB, Giá thuê &gt; 0).</t>
        </is>
      </c>
      <c r="D26" s="20" t="n"/>
      <c r="E26" s="20" t="n"/>
      <c r="F26" s="20" t="n"/>
      <c r="G26" s="20" t="n"/>
      <c r="H26" s="20" t="n"/>
    </row>
    <row r="27" ht="24" customHeight="1">
      <c r="B27" s="18" t="inlineStr">
        <is>
          <t>Bước 3:</t>
        </is>
      </c>
      <c r="C27" s="19" t="inlineStr">
        <is>
          <t>Tài khoản mới được lưu thành công, xuất hiện ngay lập tức tại danh mục phía Client cho khách hàng lựa chọn thuê.</t>
        </is>
      </c>
      <c r="D27" s="20" t="n"/>
      <c r="E27" s="20" t="n"/>
      <c r="F27" s="20" t="n"/>
      <c r="G27" s="20" t="n"/>
      <c r="H27" s="20" t="n"/>
    </row>
    <row r="28" ht="24" customHeight="1">
      <c r="B28" s="18" t="inlineStr">
        <is>
          <t>Bước 4:</t>
        </is>
      </c>
      <c r="C28" s="19" t="inlineStr">
        <is>
          <t>Cơ chế phân quyền Route Guard chủ động kiểm tra quyền truy cập, ngăn chặn khách thường hoặc tài khoản bị khóa can thiệp dữ liệu quản trị.</t>
        </is>
      </c>
      <c r="D28" s="20" t="n"/>
      <c r="E28" s="20" t="n"/>
      <c r="F28" s="20" t="n"/>
      <c r="G28" s="20" t="n"/>
      <c r="H28" s="20" t="n"/>
    </row>
  </sheetData>
  <mergeCells count="21">
    <mergeCell ref="C25:H25"/>
    <mergeCell ref="C10:H10"/>
    <mergeCell ref="C16:H16"/>
    <mergeCell ref="C22:H22"/>
    <mergeCell ref="C9:H9"/>
    <mergeCell ref="B24:H24"/>
    <mergeCell ref="B5:H5"/>
    <mergeCell ref="C21:H21"/>
    <mergeCell ref="C27:H27"/>
    <mergeCell ref="C8:H8"/>
    <mergeCell ref="C7:H7"/>
    <mergeCell ref="C19:H19"/>
    <mergeCell ref="B18:H18"/>
    <mergeCell ref="C28:H28"/>
    <mergeCell ref="C13:H13"/>
    <mergeCell ref="B12:H12"/>
    <mergeCell ref="C15:H15"/>
    <mergeCell ref="C6:H6"/>
    <mergeCell ref="C14:H14"/>
    <mergeCell ref="C26:H26"/>
    <mergeCell ref="C20:H2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E12"/>
  <sheetViews>
    <sheetView showGridLines="1" workbookViewId="0">
      <selection activeCell="A1" sqref="A1"/>
    </sheetView>
  </sheetViews>
  <sheetFormatPr baseColWidth="8" defaultRowHeight="15"/>
  <cols>
    <col width="6" customWidth="1" min="1" max="1"/>
    <col width="36" customWidth="1" min="2" max="2"/>
    <col width="24" customWidth="1" min="3" max="3"/>
    <col width="55" customWidth="1" min="4" max="4"/>
    <col width="35" customWidth="1" min="5" max="5"/>
  </cols>
  <sheetData>
    <row r="2" ht="25" customHeight="1">
      <c r="A2" s="21" t="inlineStr">
        <is>
          <t>TEST CASE LIST (SYSTEM E2E TESTING)</t>
        </is>
      </c>
    </row>
    <row r="4">
      <c r="A4" s="7" t="inlineStr">
        <is>
          <t>Project Name</t>
        </is>
      </c>
      <c r="B4" s="8" t="inlineStr">
        <is>
          <t>Hệ thống Cho thuê tài khoản game (GameRent)</t>
        </is>
      </c>
      <c r="C4" s="9" t="n"/>
      <c r="D4" s="9" t="n"/>
      <c r="E4" s="9" t="n"/>
    </row>
    <row r="5">
      <c r="A5" s="7" t="inlineStr">
        <is>
          <t>Project Code</t>
        </is>
      </c>
      <c r="B5" s="8" t="inlineStr">
        <is>
          <t>GAMERENT_BTL</t>
        </is>
      </c>
      <c r="C5" s="9" t="n"/>
      <c r="D5" s="9" t="n"/>
      <c r="E5" s="9" t="n"/>
    </row>
    <row r="6" ht="65" customHeight="1">
      <c r="A6" s="22" t="inlineStr">
        <is>
          <t>Test Environment Setup Description</t>
        </is>
      </c>
      <c r="B6" s="23" t="inlineStr">
        <is>
          <t>1. Server: Node.js v18+, Vite 8.2 Production/Dev Environment
2. Database: HTML5 LocalStorage Persistence Engine (gamerent_accounts, gamerent_orders, gamerent_wallets, gamerent_disputes)
3. Web Browser: Google Chrome v120+, Microsoft Edge v120+, Mozilla Firefox, Safari
4. Client Hardware &amp; Network: RAM 8GB+, Mạng Internet băng thông rộng (VietQR MBBank Online Gateway)</t>
        </is>
      </c>
      <c r="C6" s="9" t="n"/>
      <c r="D6" s="9" t="n"/>
      <c r="E6" s="9" t="n"/>
    </row>
    <row r="8" ht="26" customHeight="1">
      <c r="A8" s="24" t="inlineStr">
        <is>
          <t>No</t>
        </is>
      </c>
      <c r="B8" s="24" t="inlineStr">
        <is>
          <t>Function Name</t>
        </is>
      </c>
      <c r="C8" s="24" t="inlineStr">
        <is>
          <t>Sheet Name</t>
        </is>
      </c>
      <c r="D8" s="24" t="inlineStr">
        <is>
          <t>Description</t>
        </is>
      </c>
      <c r="E8" s="24" t="inlineStr">
        <is>
          <t>Pre-Condition</t>
        </is>
      </c>
    </row>
    <row r="9" ht="42" customHeight="1">
      <c r="A9" s="25" t="n">
        <v>1</v>
      </c>
      <c r="B9" s="26" t="inlineStr">
        <is>
          <t>Kịch bản E2E Hành trình Khách thuê hoàn chỉnh</t>
        </is>
      </c>
      <c r="C9" s="27" t="inlineStr">
        <is>
          <t>ST_User_Journey</t>
        </is>
      </c>
      <c r="D9" s="13" t="inlineStr">
        <is>
          <t>Khách mới đăng ký nhận 50k ví -&gt; Nạp thêm 100k VietQR -&gt; Lọc kho acc theo rank &amp; giá -&gt; Thuê acc -&gt; Nhận user/pass -&gt; Giám sát Countdown Timer</t>
        </is>
      </c>
      <c r="E9" s="13" t="inlineStr">
        <is>
          <t>Người dùng truy cập website lần đầu trên trình duyệt</t>
        </is>
      </c>
    </row>
    <row r="10" ht="42" customHeight="1">
      <c r="A10" s="25" t="n">
        <v>2</v>
      </c>
      <c r="B10" s="26" t="inlineStr">
        <is>
          <t>Kịch bản E2E Vòng đời ca thuê (Thuê -&gt; Gia hạn -&gt; Trả sớm)</t>
        </is>
      </c>
      <c r="C10" s="27" t="inlineStr">
        <is>
          <t>ST_Rental_Lifecycle</t>
        </is>
      </c>
      <c r="D10" s="13" t="inlineStr">
        <is>
          <t>Thuê nick 2 giờ -&gt; Đang chơi quyết định gia hạn thêm 1 giờ -&gt; Có việc bận quyết định Trả nick sớm -&gt; Nhận hoàn tiền 50% giờ thừa vào ví -&gt; Thu hồi pass</t>
        </is>
      </c>
      <c r="E10" s="13" t="inlineStr">
        <is>
          <t>Tài khoản có đủ số dư ví để thực hiện thanh toán</t>
        </is>
      </c>
    </row>
    <row r="11" ht="42" customHeight="1">
      <c r="A11" s="25" t="n">
        <v>3</v>
      </c>
      <c r="B11" s="26" t="inlineStr">
        <is>
          <t>Kịch bản E2E Xử lý Khiếu nại &amp; Bảo hiểm Hoàn tiền 100%</t>
        </is>
      </c>
      <c r="C11" s="27" t="inlineStr">
        <is>
          <t>ST_Dispute_Refund</t>
        </is>
      </c>
      <c r="D11" s="13" t="inlineStr">
        <is>
          <t>Khách thuê gặp lỗi sự cố 'Sai mật khẩu' -&gt; Gửi khiếu nại -&gt; Admin tiếp nhận trên Dashboard thẩm định -&gt; Phê duyệt -&gt; Ví khách nhận lại 100% tiền thuê -&gt; Acc chuyển bảo trì</t>
        </is>
      </c>
      <c r="E11" s="13" t="inlineStr">
        <is>
          <t>Khách có đơn hàng phát sinh lỗi sự cố in-game</t>
        </is>
      </c>
    </row>
    <row r="12" ht="42" customHeight="1">
      <c r="A12" s="25" t="n">
        <v>4</v>
      </c>
      <c r="B12" s="26" t="inlineStr">
        <is>
          <t>Kịch bản E2E Quản trị Kho hàng UC1 &amp; An toàn bảo mật RBAC</t>
        </is>
      </c>
      <c r="C12" s="27" t="inlineStr">
        <is>
          <t>ST_Admin_Security</t>
        </is>
      </c>
      <c r="D12" s="13" t="inlineStr">
        <is>
          <t>Admin đăng nhập -&gt; Thêm nick mới chuẩn form UC1 -&gt; Thẻ nick xuất hiện ở Catalog -&gt; Chuyển nick sang bảo trì khóa nút thuê -&gt; Kiểm tra route guard chặn khách vào trang Admin</t>
        </is>
      </c>
      <c r="E12" s="13" t="inlineStr">
        <is>
          <t>Người dùng có tài khoản Admin và tài khoản Khách</t>
        </is>
      </c>
    </row>
  </sheetData>
  <mergeCells count="4">
    <mergeCell ref="A2:E2"/>
    <mergeCell ref="B6:E6"/>
    <mergeCell ref="B5:E5"/>
    <mergeCell ref="B4:E4"/>
  </mergeCells>
  <hyperlinks>
    <hyperlink xmlns:r="http://schemas.openxmlformats.org/officeDocument/2006/relationships" ref="C9" r:id="rId1"/>
    <hyperlink xmlns:r="http://schemas.openxmlformats.org/officeDocument/2006/relationships" ref="C10" r:id="rId2"/>
    <hyperlink xmlns:r="http://schemas.openxmlformats.org/officeDocument/2006/relationships" ref="C11" r:id="rId3"/>
    <hyperlink xmlns:r="http://schemas.openxmlformats.org/officeDocument/2006/relationships" ref="C12" r:id="rId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2:I9"/>
  <sheetViews>
    <sheetView showGridLines="1" workbookViewId="0">
      <selection activeCell="A1" sqref="A1"/>
    </sheetView>
  </sheetViews>
  <sheetFormatPr baseColWidth="8" defaultRowHeight="15"/>
  <cols>
    <col width="15" customWidth="1" min="1" max="1"/>
    <col width="30" customWidth="1" min="2" max="2"/>
    <col width="30" customWidth="1" min="3" max="3"/>
    <col width="45" customWidth="1" min="4" max="4"/>
    <col width="45" customWidth="1" min="5" max="5"/>
    <col width="28" customWidth="1" min="6" max="6"/>
    <col width="12" customWidth="1" min="7" max="7"/>
    <col width="14" customWidth="1" min="8" max="8"/>
    <col width="24" customWidth="1" min="9" max="9"/>
  </cols>
  <sheetData>
    <row r="2">
      <c r="A2" s="7" t="inlineStr">
        <is>
          <t>Module Code</t>
        </is>
      </c>
      <c r="B2" s="28" t="inlineStr">
        <is>
          <t>STC-SCN-JOURNEY</t>
        </is>
      </c>
      <c r="C2" s="7" t="inlineStr">
        <is>
          <t>Scenario Name</t>
        </is>
      </c>
      <c r="D2" s="7" t="inlineStr">
        <is>
          <t>Kịch bản E2E Hành trình Khách thuê hoàn chỉnh (Đăng ký -&gt; Nạp ví -&gt; Thuê nick)</t>
        </is>
      </c>
      <c r="E2" s="9" t="n"/>
      <c r="F2" s="9" t="n"/>
      <c r="G2" s="9" t="n"/>
      <c r="H2" s="9" t="n"/>
      <c r="I2" s="9" t="n"/>
    </row>
    <row r="3">
      <c r="A3" s="7" t="inlineStr">
        <is>
          <t>Creator</t>
        </is>
      </c>
      <c r="B3" s="8" t="inlineStr">
        <is>
          <t>Lê Minh Quân</t>
        </is>
      </c>
      <c r="C3" s="7" t="inlineStr">
        <is>
          <t>Executed By</t>
        </is>
      </c>
      <c r="D3" s="8" t="inlineStr">
        <is>
          <t>Lê Xuân Đạt</t>
        </is>
      </c>
      <c r="E3" s="9" t="n"/>
      <c r="F3" s="9" t="n"/>
      <c r="G3" s="9" t="n"/>
      <c r="H3" s="9" t="n"/>
      <c r="I3" s="9" t="n"/>
    </row>
    <row r="5" ht="26" customHeight="1">
      <c r="A5" s="24" t="inlineStr">
        <is>
          <t>ID</t>
        </is>
      </c>
      <c r="B5" s="24" t="inlineStr">
        <is>
          <t>Test Case Description</t>
        </is>
      </c>
      <c r="C5" s="24" t="inlineStr">
        <is>
          <t>Pre-condition</t>
        </is>
      </c>
      <c r="D5" s="24" t="inlineStr">
        <is>
          <t>Test Steps</t>
        </is>
      </c>
      <c r="E5" s="24" t="inlineStr">
        <is>
          <t>Expected Output</t>
        </is>
      </c>
      <c r="F5" s="24" t="inlineStr">
        <is>
          <t>Post-condtion</t>
        </is>
      </c>
      <c r="G5" s="24" t="inlineStr">
        <is>
          <t>Result</t>
        </is>
      </c>
      <c r="H5" s="24" t="inlineStr">
        <is>
          <t>Test date</t>
        </is>
      </c>
      <c r="I5" s="24" t="inlineStr">
        <is>
          <t>Note</t>
        </is>
      </c>
    </row>
    <row r="6" ht="70" customHeight="1">
      <c r="A6" s="29" t="inlineStr">
        <is>
          <t>[STC-E2E-01]</t>
        </is>
      </c>
      <c r="B6" s="30" t="inlineStr">
        <is>
          <t>Luồng Khách đăng ký tài khoản mới và đăng nhập vào hệ thống</t>
        </is>
      </c>
      <c r="C6" s="30" t="inlineStr">
        <is>
          <t>1. Khách hàng truy cập vào hệ thống GameRent
2. Chưa có tài khoản</t>
        </is>
      </c>
      <c r="D6" s="30" t="inlineStr">
        <is>
          <t>1. Mở modal [Đăng Ký].
2. Nhập họ tên 'Lê Văn A', email 'vana@test.com', pass '123456'.
3. Click [Đăng Ký Tài Khoản].</t>
        </is>
      </c>
      <c r="E6" s="30" t="inlineStr">
        <is>
          <t>1. Đăng ký thành công.
2. Navbar hiển thị Tên 'Lê Văn A' và số dư ví '50.000 đ' (thưởng tạo tài khoản).
3. Phiên đăng nhập được lưu trữ vào LocalStorage.</t>
        </is>
      </c>
      <c r="F6" s="30" t="inlineStr">
        <is>
          <t>Tài khoản lưu vào CSDL với balance=50000</t>
        </is>
      </c>
      <c r="G6" s="31" t="inlineStr">
        <is>
          <t>Pass</t>
        </is>
      </c>
      <c r="H6" s="32" t="inlineStr">
        <is>
          <t>16/09/2026</t>
        </is>
      </c>
      <c r="I6" s="33" t="inlineStr">
        <is>
          <t>Kiểm thử luồng khởi tạo người dùng mới và cấp vốn trải nghiệm ban đầu</t>
        </is>
      </c>
    </row>
    <row r="7" ht="65" customHeight="1">
      <c r="A7" s="29" t="inlineStr">
        <is>
          <t>[STC-E2E-02]</t>
        </is>
      </c>
      <c r="B7" s="30" t="inlineStr">
        <is>
          <t>Luồng Nạp tiền bổ sung 100.000 đ qua VietQR Auto</t>
        </is>
      </c>
      <c r="C7" s="30" t="inlineStr">
        <is>
          <t>1. Khách hàng đã đăng nhập, số dư ví hiện tại là 50.000 đ</t>
        </is>
      </c>
      <c r="D7" s="30" t="inlineStr">
        <is>
          <t>1. Vào trang /wallet.
2. Bấm [Nạp Tiền Vào Ví], chọn gói 100.000 đ.
3. Quét mã VietQR MBBank mô phỏng.
4. Bấm [Xác Nhận Đã Chuyển Tiền].</t>
        </is>
      </c>
      <c r="E7" s="30" t="inlineStr">
        <is>
          <t>1. Số dư ví tăng lên đúng '150.000 đ'.
2. Lịch sử giao dịch ghi nhận +100.000 đ thành công kèm mã tham chiếu VietQR.</t>
        </is>
      </c>
      <c r="F7" s="30" t="inlineStr">
        <is>
          <t>Ví tiền tăng lên 150.000 đ</t>
        </is>
      </c>
      <c r="G7" s="31" t="inlineStr">
        <is>
          <t>Pass</t>
        </is>
      </c>
      <c r="H7" s="32" t="inlineStr">
        <is>
          <t>16/09/2026</t>
        </is>
      </c>
      <c r="I7" s="33" t="inlineStr">
        <is>
          <t>Kiểm thử cổng thanh toán trực tuyến mô phỏng VietQR chuẩn MBBank</t>
        </is>
      </c>
    </row>
    <row r="8" ht="75" customHeight="1">
      <c r="A8" s="29" t="inlineStr">
        <is>
          <t>[STC-E2E-03]</t>
        </is>
      </c>
      <c r="B8" s="30" t="inlineStr">
        <is>
          <t>Luồng Tìm kiếm, Lọc kho nick &amp; Thuê tài khoản thành công</t>
        </is>
      </c>
      <c r="C8" s="30" t="inlineStr">
        <is>
          <t>1. Khách hàng có số dư ví 150.000 đ
2. Nick ACCVAL001 có status='available' (15.000 đ/h)</t>
        </is>
      </c>
      <c r="D8" s="30" t="inlineStr">
        <is>
          <t>1. Tại trang chủ, chọn danh mục 'Valorant'.
2. Gõ tìm kiếm 'Prime Vandal'.
3. Chọn nick ACCVAL001 giá 15.000 đ/h.
4. Chọn thuê 2 giờ (30.000 đ), bấm [Xác Nhận Thanh Toán].</t>
        </is>
      </c>
      <c r="E8" s="30" t="inlineStr">
        <is>
          <t>1. Ví trừ 30k (còn 120.000 đ).
2. Nick ACCVAL001 chuyển sang trạng thái 'rented'.
3. Điều hướng sang MyRentalsPage hiển thị Username/Password và CountdownTimer đếm ngược 01:59:59.</t>
        </is>
      </c>
      <c r="F8" s="30" t="inlineStr">
        <is>
          <t>Đơn thuê #ORDER-XXX kích hoạt thành công</t>
        </is>
      </c>
      <c r="G8" s="31" t="inlineStr">
        <is>
          <t>Pass</t>
        </is>
      </c>
      <c r="H8" s="32" t="inlineStr">
        <is>
          <t>16/09/2026</t>
        </is>
      </c>
      <c r="I8" s="33" t="inlineStr">
        <is>
          <t>Luồng cốt lõi (Happy path) của hệ thống cho thuê acc</t>
        </is>
      </c>
    </row>
    <row r="9" ht="65" customHeight="1">
      <c r="A9" s="29" t="inlineStr">
        <is>
          <t>[STC-E2E-04]</t>
        </is>
      </c>
      <c r="B9" s="30" t="inlineStr">
        <is>
          <t>Luồng Giám sát phiên &amp; Sao chép mật khẩu 1-click</t>
        </is>
      </c>
      <c r="C9" s="30" t="inlineStr">
        <is>
          <t>1. Đơn hàng #ORDER-XXX đang hoạt động tại trang My Rentals</t>
        </is>
      </c>
      <c r="D9" s="30" t="inlineStr">
        <is>
          <t>1. Click icon Copy tại ô Username in-game.
2. Click icon Copy tại ô Mật khẩu in-game.
3. Quan sát đồng hồ đếm ngược.</t>
        </is>
      </c>
      <c r="E9" s="30" t="inlineStr">
        <is>
          <t>1. Thông báo Toast: 'Đã sao chép tài khoản vào bộ nhớ tạm!'.
2. Toast: 'Đã sao chép mật khẩu thành công!'.
3. Đồng hồ CountdownTimer đếm chính xác từng giây theo thời gian thực.</t>
        </is>
      </c>
      <c r="F9" s="30" t="inlineStr">
        <is>
          <t>Khách nhận đủ thông tin để đăng nhập in-game</t>
        </is>
      </c>
      <c r="G9" s="31" t="inlineStr">
        <is>
          <t>Pass</t>
        </is>
      </c>
      <c r="H9" s="32" t="inlineStr">
        <is>
          <t>16/09/2026</t>
        </is>
      </c>
      <c r="I9" s="33" t="inlineStr">
        <is>
          <t>Kiểm tra trải nghiệm người dùng (UX) và tính bảo mật thông tin</t>
        </is>
      </c>
    </row>
  </sheetData>
  <mergeCells count="2">
    <mergeCell ref="D2:I2"/>
    <mergeCell ref="D3:I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I8"/>
  <sheetViews>
    <sheetView showGridLines="1" workbookViewId="0">
      <selection activeCell="A1" sqref="A1"/>
    </sheetView>
  </sheetViews>
  <sheetFormatPr baseColWidth="8" defaultRowHeight="15"/>
  <cols>
    <col width="15" customWidth="1" min="1" max="1"/>
    <col width="30" customWidth="1" min="2" max="2"/>
    <col width="30" customWidth="1" min="3" max="3"/>
    <col width="45" customWidth="1" min="4" max="4"/>
    <col width="45" customWidth="1" min="5" max="5"/>
    <col width="28" customWidth="1" min="6" max="6"/>
    <col width="12" customWidth="1" min="7" max="7"/>
    <col width="14" customWidth="1" min="8" max="8"/>
    <col width="24" customWidth="1" min="9" max="9"/>
  </cols>
  <sheetData>
    <row r="2">
      <c r="A2" s="7" t="inlineStr">
        <is>
          <t>Module Code</t>
        </is>
      </c>
      <c r="B2" s="28" t="inlineStr">
        <is>
          <t>STC-SCN-LIFECYCLE</t>
        </is>
      </c>
      <c r="C2" s="7" t="inlineStr">
        <is>
          <t>Scenario Name</t>
        </is>
      </c>
      <c r="D2" s="7" t="inlineStr">
        <is>
          <t>Kịch bản E2E Vòng đời ca thuê (Thuê -&gt; Gia hạn -&gt; Trả sớm -&gt; Hết hạn)</t>
        </is>
      </c>
      <c r="E2" s="9" t="n"/>
      <c r="F2" s="9" t="n"/>
      <c r="G2" s="9" t="n"/>
      <c r="H2" s="9" t="n"/>
      <c r="I2" s="9" t="n"/>
    </row>
    <row r="3">
      <c r="A3" s="7" t="inlineStr">
        <is>
          <t>Creator</t>
        </is>
      </c>
      <c r="B3" s="8" t="inlineStr">
        <is>
          <t>Lê Xuân Đạt</t>
        </is>
      </c>
      <c r="C3" s="7" t="inlineStr">
        <is>
          <t>Executed By</t>
        </is>
      </c>
      <c r="D3" s="8" t="inlineStr">
        <is>
          <t>Lê Minh Quân</t>
        </is>
      </c>
      <c r="E3" s="9" t="n"/>
      <c r="F3" s="9" t="n"/>
      <c r="G3" s="9" t="n"/>
      <c r="H3" s="9" t="n"/>
      <c r="I3" s="9" t="n"/>
    </row>
    <row r="5" ht="26" customHeight="1">
      <c r="A5" s="24" t="inlineStr">
        <is>
          <t>ID</t>
        </is>
      </c>
      <c r="B5" s="24" t="inlineStr">
        <is>
          <t>Test Case Description</t>
        </is>
      </c>
      <c r="C5" s="24" t="inlineStr">
        <is>
          <t>Pre-condition</t>
        </is>
      </c>
      <c r="D5" s="24" t="inlineStr">
        <is>
          <t>Test Steps</t>
        </is>
      </c>
      <c r="E5" s="24" t="inlineStr">
        <is>
          <t>Expected Output</t>
        </is>
      </c>
      <c r="F5" s="24" t="inlineStr">
        <is>
          <t>Post-condtion</t>
        </is>
      </c>
      <c r="G5" s="24" t="inlineStr">
        <is>
          <t>Result</t>
        </is>
      </c>
      <c r="H5" s="24" t="inlineStr">
        <is>
          <t>Test date</t>
        </is>
      </c>
      <c r="I5" s="24" t="inlineStr">
        <is>
          <t>Note</t>
        </is>
      </c>
    </row>
    <row r="6" ht="70" customHeight="1">
      <c r="A6" s="29" t="inlineStr">
        <is>
          <t>[STC-E2E-05]</t>
        </is>
      </c>
      <c r="B6" s="30" t="inlineStr">
        <is>
          <t>Luồng Gia hạn thời gian thuê thêm 2 giờ</t>
        </is>
      </c>
      <c r="C6" s="30" t="inlineStr">
        <is>
          <t>1. Khách đang chơi đơn #ORDER-01, còn 15 phút là hết giờ
2. Ví có 120.000 đ</t>
        </is>
      </c>
      <c r="D6" s="30" t="inlineStr">
        <is>
          <t>1. Tại đơn hàng, bấm nút [Gia Hạn Thêm Giờ].
2. Chọn thời lượng gia hạn: 2 giờ (Chi phí: 30.000 đ).
3. Bấm [Xác Nhận Gia Hạn].</t>
        </is>
      </c>
      <c r="E6" s="30" t="inlineStr">
        <is>
          <t>1. Ví trừ 30.000 đ (còn 90.000 đ).
2. CountdownTimer lập tức nhảy tăng thêm 2 giờ (thành 02:14:59).
3. Đơn hàng cập nhật thời gian kết thúc mới (expiresAt).</t>
        </is>
      </c>
      <c r="F6" s="30" t="inlineStr">
        <is>
          <t>Cập nhật expiresAt nối tiếp chính xác</t>
        </is>
      </c>
      <c r="G6" s="31" t="inlineStr">
        <is>
          <t>Pass</t>
        </is>
      </c>
      <c r="H6" s="32" t="inlineStr">
        <is>
          <t>16/09/2026</t>
        </is>
      </c>
      <c r="I6" s="33" t="inlineStr">
        <is>
          <t>Đảm bảo tính liên tục của phiên chơi mà không bị gián đoạn</t>
        </is>
      </c>
    </row>
    <row r="7" ht="75" customHeight="1">
      <c r="A7" s="29" t="inlineStr">
        <is>
          <t>[STC-E2E-06]</t>
        </is>
      </c>
      <c r="B7" s="30" t="inlineStr">
        <is>
          <t>Luồng Trả nick sớm chủ động &amp; Nhận hoàn tiền 50%</t>
        </is>
      </c>
      <c r="C7" s="30" t="inlineStr">
        <is>
          <t>1. Đơn hàng còn thừa 2 giờ chơi (trị giá 30k)
2. Khách bận đột xuất muốn trả sớm</t>
        </is>
      </c>
      <c r="D7" s="30" t="inlineStr">
        <is>
          <t>1. Khách click button [Trả Nick Sớm].
2. Modal thông báo: 'Bạn còn thừa 2 giờ. Hệ thống sẽ hoàn lại 50% chi phí (15.000 đ) vào ví'.
3. Khách bấm [Xác Nhận Trả Nick].</t>
        </is>
      </c>
      <c r="E7" s="30" t="inlineStr">
        <is>
          <t>1. Đơn hàng chuyển sang 'completed' (Trả sớm).
2. Mật khẩu in-game bị làm mờ và thu hồi.
3. Ví khách được hoàn lại đúng 15.000 đ (Ví tăng từ 90k lên 105k).
4. Nick chuyển sang trạng thái chờ đổi pass thu hồi.</t>
        </is>
      </c>
      <c r="F7" s="30" t="inlineStr">
        <is>
          <t>Tài khoản game chuyển sang 'need_change_pass'</t>
        </is>
      </c>
      <c r="G7" s="31" t="inlineStr">
        <is>
          <t>Pass</t>
        </is>
      </c>
      <c r="H7" s="32" t="inlineStr">
        <is>
          <t>16/09/2026</t>
        </is>
      </c>
      <c r="I7" s="33" t="inlineStr">
        <is>
          <t>Chính sách hoàn tiền công bằng, kích thích khách trả nick đúng hạn</t>
        </is>
      </c>
    </row>
    <row r="8" ht="65" customHeight="1">
      <c r="A8" s="29" t="inlineStr">
        <is>
          <t>[STC-E2E-07]</t>
        </is>
      </c>
      <c r="B8" s="30" t="inlineStr">
        <is>
          <t>Luồng Đơn thuê tự động hết hạn khi Countdown về 00:00:00</t>
        </is>
      </c>
      <c r="C8" s="30" t="inlineStr">
        <is>
          <t>1. Đơn thuê sắp hết giờ (dùng thanh Tester tua nhanh thời gian về 00:00:00)</t>
        </is>
      </c>
      <c r="D8" s="30" t="inlineStr">
        <is>
          <t>1. Đồng hồ đếm ngược chạy về 00:00:00.
2. Quan sát giao diện đơn hàng tại MyRentals.</t>
        </is>
      </c>
      <c r="E8" s="30" t="inlineStr">
        <is>
          <t>1. CountdownTimer chuyển sang badge đỏ: 'Đã Hết Hạn'.
2. Mật khẩu in-game bị ẩn.
3. Nick tự động chuyển sang quy trình đổi mật khẩu thu hồi.</t>
        </is>
      </c>
      <c r="F8" s="30" t="inlineStr">
        <is>
          <t>Đơn hàng kết thúc chu kỳ thuê</t>
        </is>
      </c>
      <c r="G8" s="31" t="inlineStr">
        <is>
          <t>Pass</t>
        </is>
      </c>
      <c r="H8" s="32" t="inlineStr">
        <is>
          <t>16/09/2026</t>
        </is>
      </c>
      <c r="I8" s="33" t="inlineStr">
        <is>
          <t>Kiểm tra cơ chế thu hồi quyền truy cập tự động và bảo mật nick shop</t>
        </is>
      </c>
    </row>
  </sheetData>
  <mergeCells count="2">
    <mergeCell ref="D2:I2"/>
    <mergeCell ref="D3:I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2:I8"/>
  <sheetViews>
    <sheetView showGridLines="1" workbookViewId="0">
      <selection activeCell="A1" sqref="A1"/>
    </sheetView>
  </sheetViews>
  <sheetFormatPr baseColWidth="8" defaultRowHeight="15"/>
  <cols>
    <col width="15" customWidth="1" min="1" max="1"/>
    <col width="30" customWidth="1" min="2" max="2"/>
    <col width="30" customWidth="1" min="3" max="3"/>
    <col width="45" customWidth="1" min="4" max="4"/>
    <col width="45" customWidth="1" min="5" max="5"/>
    <col width="28" customWidth="1" min="6" max="6"/>
    <col width="12" customWidth="1" min="7" max="7"/>
    <col width="14" customWidth="1" min="8" max="8"/>
    <col width="24" customWidth="1" min="9" max="9"/>
  </cols>
  <sheetData>
    <row r="2">
      <c r="A2" s="7" t="inlineStr">
        <is>
          <t>Module Code</t>
        </is>
      </c>
      <c r="B2" s="28" t="inlineStr">
        <is>
          <t>STC-SCN-DISPUTE</t>
        </is>
      </c>
      <c r="C2" s="7" t="inlineStr">
        <is>
          <t>Scenario Name</t>
        </is>
      </c>
      <c r="D2" s="7" t="inlineStr">
        <is>
          <t>Kịch bản E2E Xử lý Khiếu nại &amp; Bảo hiểm Hoàn tiền 100%</t>
        </is>
      </c>
      <c r="E2" s="9" t="n"/>
      <c r="F2" s="9" t="n"/>
      <c r="G2" s="9" t="n"/>
      <c r="H2" s="9" t="n"/>
      <c r="I2" s="9" t="n"/>
    </row>
    <row r="3">
      <c r="A3" s="7" t="inlineStr">
        <is>
          <t>Creator</t>
        </is>
      </c>
      <c r="B3" s="8" t="inlineStr">
        <is>
          <t>Lê Hải Đăng</t>
        </is>
      </c>
      <c r="C3" s="7" t="inlineStr">
        <is>
          <t>Executed By</t>
        </is>
      </c>
      <c r="D3" s="8" t="inlineStr">
        <is>
          <t>Lê Thanh Tùng</t>
        </is>
      </c>
      <c r="E3" s="9" t="n"/>
      <c r="F3" s="9" t="n"/>
      <c r="G3" s="9" t="n"/>
      <c r="H3" s="9" t="n"/>
      <c r="I3" s="9" t="n"/>
    </row>
    <row r="5" ht="26" customHeight="1">
      <c r="A5" s="24" t="inlineStr">
        <is>
          <t>ID</t>
        </is>
      </c>
      <c r="B5" s="24" t="inlineStr">
        <is>
          <t>Test Case Description</t>
        </is>
      </c>
      <c r="C5" s="24" t="inlineStr">
        <is>
          <t>Pre-condition</t>
        </is>
      </c>
      <c r="D5" s="24" t="inlineStr">
        <is>
          <t>Test Steps</t>
        </is>
      </c>
      <c r="E5" s="24" t="inlineStr">
        <is>
          <t>Expected Output</t>
        </is>
      </c>
      <c r="F5" s="24" t="inlineStr">
        <is>
          <t>Post-condtion</t>
        </is>
      </c>
      <c r="G5" s="24" t="inlineStr">
        <is>
          <t>Result</t>
        </is>
      </c>
      <c r="H5" s="24" t="inlineStr">
        <is>
          <t>Test date</t>
        </is>
      </c>
      <c r="I5" s="24" t="inlineStr">
        <is>
          <t>Note</t>
        </is>
      </c>
    </row>
    <row r="6" ht="75" customHeight="1">
      <c r="A6" s="29" t="inlineStr">
        <is>
          <t>[STC-E2E-08]</t>
        </is>
      </c>
      <c r="B6" s="30" t="inlineStr">
        <is>
          <t>Luồng Khách gửi khiếu nại báo lỗi sự cố in-game</t>
        </is>
      </c>
      <c r="C6" s="30" t="inlineStr">
        <is>
          <t>1. Khách vừa thuê nick nhưng in-game báo 'Mật khẩu không chính xác'
2. Đơn hàng mới tạo dưới 15 phút</t>
        </is>
      </c>
      <c r="D6" s="30" t="inlineStr">
        <is>
          <t>1. Tại MyRentalsPage, click button [Báo Sự Cố / Khiếu Nại].
2. Chọn phân loại lỗi: 'Sai mật khẩu'.
3. Nhập mô tả: 'Riot Games báo sai mật khẩu không đăng nhập được'.
4. Click [Gửi Báo Cáo Khiếu Nại].</t>
        </is>
      </c>
      <c r="E6" s="30" t="inlineStr">
        <is>
          <t>1. Hệ thống tiếp nhận khiếu nại, sinh mã #DISP-XXX với status 'pending'.
2. Đơn hàng hiển thị nhãn cảnh báo 'Đang Chờ Xử Lý Khiếu Nại'.
3. Khách nhận thông báo: 'Khiếu nại của bạn đang được Admin thẩm định'.</t>
        </is>
      </c>
      <c r="F6" s="30" t="inlineStr">
        <is>
          <t>Bản ghi khiếu nại được tạo trong 'gamerent_disputes'</t>
        </is>
      </c>
      <c r="G6" s="31" t="inlineStr">
        <is>
          <t>Pass</t>
        </is>
      </c>
      <c r="H6" s="32" t="inlineStr">
        <is>
          <t>16/09/2026</t>
        </is>
      </c>
      <c r="I6" s="33" t="inlineStr">
        <is>
          <t>Cơ chế bảo vệ quyền lợi người mua khi gặp sự cố bất khả kháng</t>
        </is>
      </c>
    </row>
    <row r="7" ht="75" customHeight="1">
      <c r="A7" s="29" t="inlineStr">
        <is>
          <t>[STC-E2E-09]</t>
        </is>
      </c>
      <c r="B7" s="30" t="inlineStr">
        <is>
          <t>Luồng Admin thẩm định và Phê duyệt Hoàn tiền 100%</t>
        </is>
      </c>
      <c r="C7" s="30" t="inlineStr">
        <is>
          <t>1. Có khiếu nại #DISP-XXX đang pending giá trị 30.000 đ</t>
        </is>
      </c>
      <c r="D7" s="30" t="inlineStr">
        <is>
          <t>1. Admin truy cập /admin/overview.
2. Tại mục 'Khiếu nại cần xử lý', bấm xem chi tiết #DISP-XXX.
3. Admin xác minh sự cố thực tế và click [Phê Duyệt &amp; Hoàn Tiền 100%].</t>
        </is>
      </c>
      <c r="E7" s="30" t="inlineStr">
        <is>
          <t>1. Khiếu nại cập nhật trạng thái 'resolved'.
2. Ví của khách hàng được hoàn trả lại đúng 30.000 đ (100% chi phí đơn).
3. Lịch sử giao dịch của khách xuất hiện dòng: '+30.000 đ | Hoàn tiền khiếu nại #DISP-XXX'.
4. Tài khoản game tự động đưa vào trạng thái 'maintenance' để reset pass.</t>
        </is>
      </c>
      <c r="F7" s="30" t="inlineStr">
        <is>
          <t>Khách nhận đủ 100% tiền, nick được bảo vệ an toàn</t>
        </is>
      </c>
      <c r="G7" s="31" t="inlineStr">
        <is>
          <t>Pass</t>
        </is>
      </c>
      <c r="H7" s="32" t="inlineStr">
        <is>
          <t>16/09/2026</t>
        </is>
      </c>
      <c r="I7" s="33" t="inlineStr">
        <is>
          <t>Luồng bảo hiểm cam kết 100% sự hài lòng của khách hàng</t>
        </is>
      </c>
    </row>
    <row r="8" ht="70" customHeight="1">
      <c r="A8" s="29" t="inlineStr">
        <is>
          <t>[STC-E2E-10]</t>
        </is>
      </c>
      <c r="B8" s="30" t="inlineStr">
        <is>
          <t>Luồng Admin từ chối khiếu nại do khai báo sai lệch</t>
        </is>
      </c>
      <c r="C8" s="30" t="inlineStr">
        <is>
          <t>1. Khách khiếu nại không hợp lệ hoặc cố tình gian lận sau khi đã chơi hết giờ</t>
        </is>
      </c>
      <c r="D8" s="30" t="inlineStr">
        <is>
          <t>1. Admin xem xét chi tiết khiếu nại.
2. Kiểm tra log thấy khách đã chơi đủ thời gian và không có lỗi từ hệ thống.
3. Admin click [Từ Chối Khiếu Nại] kèm lý do từ chối.</t>
        </is>
      </c>
      <c r="E8" s="30" t="inlineStr">
        <is>
          <t>1. Khiếu nại chuyển trạng thái 'rejected'.
2. Không hoàn tiền ví.
3. Đơn hàng tiếp tục duy trì trạng thái bình thường kèm thông báo từ chối.</t>
        </is>
      </c>
      <c r="F8" s="30" t="inlineStr">
        <is>
          <t>Không phát sinh biến động số dư ví</t>
        </is>
      </c>
      <c r="G8" s="31" t="inlineStr">
        <is>
          <t>Pass</t>
        </is>
      </c>
      <c r="H8" s="32" t="inlineStr">
        <is>
          <t>16/09/2026</t>
        </is>
      </c>
      <c r="I8" s="33" t="inlineStr">
        <is>
          <t>Ngăn chặn gian lận và trục lợi chính sách bảo hiểm</t>
        </is>
      </c>
    </row>
  </sheetData>
  <mergeCells count="2">
    <mergeCell ref="D2:I2"/>
    <mergeCell ref="D3:I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2:I9"/>
  <sheetViews>
    <sheetView showGridLines="1" workbookViewId="0">
      <selection activeCell="A1" sqref="A1"/>
    </sheetView>
  </sheetViews>
  <sheetFormatPr baseColWidth="8" defaultRowHeight="15"/>
  <cols>
    <col width="15" customWidth="1" min="1" max="1"/>
    <col width="30" customWidth="1" min="2" max="2"/>
    <col width="30" customWidth="1" min="3" max="3"/>
    <col width="45" customWidth="1" min="4" max="4"/>
    <col width="45" customWidth="1" min="5" max="5"/>
    <col width="28" customWidth="1" min="6" max="6"/>
    <col width="12" customWidth="1" min="7" max="7"/>
    <col width="14" customWidth="1" min="8" max="8"/>
    <col width="24" customWidth="1" min="9" max="9"/>
  </cols>
  <sheetData>
    <row r="2">
      <c r="A2" s="7" t="inlineStr">
        <is>
          <t>Module Code</t>
        </is>
      </c>
      <c r="B2" s="28" t="inlineStr">
        <is>
          <t>STC-SCN-ADMIN-SEC</t>
        </is>
      </c>
      <c r="C2" s="7" t="inlineStr">
        <is>
          <t>Scenario Name</t>
        </is>
      </c>
      <c r="D2" s="7" t="inlineStr">
        <is>
          <t>Kịch bản E2E Quản trị Kho hàng UC1 &amp; An toàn bảo mật RBAC</t>
        </is>
      </c>
      <c r="E2" s="9" t="n"/>
      <c r="F2" s="9" t="n"/>
      <c r="G2" s="9" t="n"/>
      <c r="H2" s="9" t="n"/>
      <c r="I2" s="9" t="n"/>
    </row>
    <row r="3">
      <c r="A3" s="7" t="inlineStr">
        <is>
          <t>Creator</t>
        </is>
      </c>
      <c r="B3" s="8" t="inlineStr">
        <is>
          <t>Lê Minh Quân</t>
        </is>
      </c>
      <c r="C3" s="7" t="inlineStr">
        <is>
          <t>Executed By</t>
        </is>
      </c>
      <c r="D3" s="8" t="inlineStr">
        <is>
          <t>Lê Hải Đăng</t>
        </is>
      </c>
      <c r="E3" s="9" t="n"/>
      <c r="F3" s="9" t="n"/>
      <c r="G3" s="9" t="n"/>
      <c r="H3" s="9" t="n"/>
      <c r="I3" s="9" t="n"/>
    </row>
    <row r="5" ht="26" customHeight="1">
      <c r="A5" s="24" t="inlineStr">
        <is>
          <t>ID</t>
        </is>
      </c>
      <c r="B5" s="24" t="inlineStr">
        <is>
          <t>Test Case Description</t>
        </is>
      </c>
      <c r="C5" s="24" t="inlineStr">
        <is>
          <t>Pre-condition</t>
        </is>
      </c>
      <c r="D5" s="24" t="inlineStr">
        <is>
          <t>Test Steps</t>
        </is>
      </c>
      <c r="E5" s="24" t="inlineStr">
        <is>
          <t>Expected Output</t>
        </is>
      </c>
      <c r="F5" s="24" t="inlineStr">
        <is>
          <t>Post-condtion</t>
        </is>
      </c>
      <c r="G5" s="24" t="inlineStr">
        <is>
          <t>Result</t>
        </is>
      </c>
      <c r="H5" s="24" t="inlineStr">
        <is>
          <t>Test date</t>
        </is>
      </c>
      <c r="I5" s="24" t="inlineStr">
        <is>
          <t>Note</t>
        </is>
      </c>
    </row>
    <row r="6" ht="85" customHeight="1">
      <c r="A6" s="29" t="inlineStr">
        <is>
          <t>[STC-E2E-11]</t>
        </is>
      </c>
      <c r="B6" s="30" t="inlineStr">
        <is>
          <t>Luồng Admin Thêm nick game mới vào kho chuẩn Form UC1</t>
        </is>
      </c>
      <c r="C6" s="30" t="inlineStr">
        <is>
          <t>1. Admin đăng nhập vào hệ thống với role='admin'</t>
        </is>
      </c>
      <c r="D6" s="30" t="inlineStr">
        <is>
          <t>1. Vào /admin/warehouse, click [Thêm Tài Khoản Mới].
2. Nhập Mã SP: 'ACCLOL005' (9 ký tự, chuẩn 8-30).
3. Nhập Tên nick: 'Nick LMHT Thách Đấu Full Tướng' (30 ký tự, chuẩn 10-50).
4. Chọn Game: 'Liên Minh Huyền Thoại', Giá: 20.000 đ/h, Rank: 'Challenger'.
5. Upload ảnh hợp lệ 'yasuo.png' dung lượng 750KB (&lt;= 1MB).
6. Nhập tài khoản/mật khẩu in-game và click [Lưu Tài Khoản Vào Kho].</t>
        </is>
      </c>
      <c r="E6" s="30" t="inlineStr">
        <is>
          <t>1. Toast thông báo: 'Thêm tài khoản mới thành công!'.
2. Danh sách kho quản lý xuất hiện dòng 'ACCLOL005' với status 'available'.
3. Phía Client danh mục LMHT xuất hiện ngay thẻ nick mới này.</t>
        </is>
      </c>
      <c r="F6" s="30" t="inlineStr">
        <is>
          <t>Kho game có thêm 1 nick sẵn sàng cho thuê</t>
        </is>
      </c>
      <c r="G6" s="31" t="inlineStr">
        <is>
          <t>Pass</t>
        </is>
      </c>
      <c r="H6" s="32" t="inlineStr">
        <is>
          <t>16/09/2026</t>
        </is>
      </c>
      <c r="I6" s="33" t="inlineStr">
        <is>
          <t>Tuân thủ chặt chẽ đặc tả use case UC1_Add New Product của giảng viên</t>
        </is>
      </c>
    </row>
    <row r="7" ht="65" customHeight="1">
      <c r="A7" s="29" t="inlineStr">
        <is>
          <t>[STC-E2E-12]</t>
        </is>
      </c>
      <c r="B7" s="30" t="inlineStr">
        <is>
          <t>Luồng Admin chuyển trạng thái Bảo trì và khóa chức năng thuê</t>
        </is>
      </c>
      <c r="C7" s="30" t="inlineStr">
        <is>
          <t>1. Nick ACCLOL005 đang available trong kho</t>
        </is>
      </c>
      <c r="D7" s="30" t="inlineStr">
        <is>
          <t>1. Tại bảng kho Admin, click nút [Chuyển sang Bảo Trì].
2. Khách hàng mở trang chủ Client xem nick.</t>
        </is>
      </c>
      <c r="E7" s="30" t="inlineStr">
        <is>
          <t>1. Tại Client, thẻ nick hiển thị badge xám 'Bảo Trì'.
2. Nút [Thuê Ngay] bị disabled, khách không thể bấm thuê.</t>
        </is>
      </c>
      <c r="F7" s="30" t="inlineStr">
        <is>
          <t>Tài khoản có status='maintenance'</t>
        </is>
      </c>
      <c r="G7" s="31" t="inlineStr">
        <is>
          <t>Pass</t>
        </is>
      </c>
      <c r="H7" s="32" t="inlineStr">
        <is>
          <t>16/09/2026</t>
        </is>
      </c>
      <c r="I7" s="33" t="inlineStr">
        <is>
          <t>Khóa tính năng tức thời khi phát hiện nick cần cập nhật hoặc đổi mật khẩu</t>
        </is>
      </c>
    </row>
    <row r="8" ht="70" customHeight="1">
      <c r="A8" s="29" t="inlineStr">
        <is>
          <t>[STC-E2E-13]</t>
        </is>
      </c>
      <c r="B8" s="30" t="inlineStr">
        <is>
          <t>Luồng Kiểm tra Phân quyền RBAC bảo vệ trang Admin</t>
        </is>
      </c>
      <c r="C8" s="30" t="inlineStr">
        <is>
          <t>1. Người dùng đăng nhập với tài khoản Khách (role='renter')</t>
        </is>
      </c>
      <c r="D8" s="30" t="inlineStr">
        <is>
          <t>1. Khách cố tình gõ trực tiếp URL '/admin/overview' hoặc '/admin/warehouse' trên thanh địa chỉ trình duyệt.</t>
        </is>
      </c>
      <c r="E8" s="30" t="inlineStr">
        <is>
          <t>1. Hệ thống Route Guard phát hiện quyền 'renter'.
2. Tự động điều hướng khách về Trang chủ Client ('/').
3. Hiển thị cảnh báo: 'Bạn không có quyền truy cập vào phân hệ Quản trị viên!'.</t>
        </is>
      </c>
      <c r="F8" s="30" t="inlineStr">
        <is>
          <t>Khách không thể xem doanh thu hay dữ liệu mật của Admin</t>
        </is>
      </c>
      <c r="G8" s="31" t="inlineStr">
        <is>
          <t>Pass</t>
        </is>
      </c>
      <c r="H8" s="32" t="inlineStr">
        <is>
          <t>16/09/2026</t>
        </is>
      </c>
      <c r="I8" s="33" t="inlineStr">
        <is>
          <t>Kiểm tra an toàn bảo mật phân quyền Role-Based Access Control</t>
        </is>
      </c>
    </row>
    <row r="9" ht="65" customHeight="1">
      <c r="A9" s="29" t="inlineStr">
        <is>
          <t>[STC-E2E-14]</t>
        </is>
      </c>
      <c r="B9" s="30" t="inlineStr">
        <is>
          <t>Luồng Ngăn chặn tài khoản bị khóa vi phạm đăng nhập và thuê</t>
        </is>
      </c>
      <c r="C9" s="30" t="inlineStr">
        <is>
          <t>1. Tài khoản vi phạm quy chế bị Admin set isBlocked=true</t>
        </is>
      </c>
      <c r="D9" s="30" t="inlineStr">
        <is>
          <t>1. Cố tình đăng nhập bằng email bị khóa.
2. Đánh giá phản hồi hệ thống.</t>
        </is>
      </c>
      <c r="E9" s="30" t="inlineStr">
        <is>
          <t>1. Đăng nhập thất bại.
2. Báo lỗi: 'Tài khoản của bạn đang bị khóa do vi phạm quy chế'.
3. Chặn toàn bộ thao tác tài chính và thuê nick.</t>
        </is>
      </c>
      <c r="F9" s="30" t="inlineStr">
        <is>
          <t>Tài khoản bị cô lập an toàn</t>
        </is>
      </c>
      <c r="G9" s="31" t="inlineStr">
        <is>
          <t>Pass</t>
        </is>
      </c>
      <c r="H9" s="32" t="inlineStr">
        <is>
          <t>16/09/2026</t>
        </is>
      </c>
      <c r="I9" s="33" t="inlineStr">
        <is>
          <t>Cơ chế cách ly người dùng độc hại bảo vệ tài sản của cửa hàng</t>
        </is>
      </c>
    </row>
  </sheetData>
  <mergeCells count="2">
    <mergeCell ref="D2:I2"/>
    <mergeCell ref="D3:I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2:K17"/>
  <sheetViews>
    <sheetView showGridLines="1" workbookViewId="0">
      <selection activeCell="A1" sqref="A1"/>
    </sheetView>
  </sheetViews>
  <sheetFormatPr baseColWidth="8" defaultRowHeight="15"/>
  <cols>
    <col width="6" customWidth="1" min="1" max="1"/>
    <col width="24" customWidth="1" min="2" max="2"/>
    <col width="10" customWidth="1" min="3" max="3"/>
    <col width="10" customWidth="1" min="4" max="4"/>
    <col width="12" customWidth="1" min="5" max="5"/>
    <col width="10" customWidth="1" min="6" max="6"/>
    <col width="22" customWidth="1" min="7" max="7"/>
    <col width="14" customWidth="1" min="8" max="8"/>
    <col width="4" customWidth="1" min="9" max="9"/>
    <col width="12" customWidth="1" min="10" max="10"/>
    <col width="10" customWidth="1" min="11" max="11"/>
  </cols>
  <sheetData>
    <row r="2" ht="25" customHeight="1">
      <c r="A2" s="21" t="inlineStr">
        <is>
          <t>TEST REPORT (SYSTEM E2E TESTING)</t>
        </is>
      </c>
      <c r="J2" t="inlineStr">
        <is>
          <t>Status</t>
        </is>
      </c>
      <c r="K2" t="inlineStr">
        <is>
          <t>Count</t>
        </is>
      </c>
    </row>
    <row r="3">
      <c r="J3" t="inlineStr">
        <is>
          <t>Pass</t>
        </is>
      </c>
      <c r="K3">
        <f>C14</f>
        <v/>
      </c>
    </row>
    <row r="4" ht="22" customHeight="1">
      <c r="A4" s="7" t="inlineStr">
        <is>
          <t>Project Name</t>
        </is>
      </c>
      <c r="B4" s="8" t="inlineStr">
        <is>
          <t>Hệ thống Cho thuê tài khoản game (GameRent)</t>
        </is>
      </c>
      <c r="C4" s="9" t="n"/>
      <c r="D4" s="7" t="inlineStr">
        <is>
          <t>Creator</t>
        </is>
      </c>
      <c r="E4" s="8" t="inlineStr">
        <is>
          <t>Lê Minh Quân (Nhóm 16)</t>
        </is>
      </c>
      <c r="F4" s="9" t="n"/>
      <c r="G4" s="9" t="n"/>
      <c r="H4" s="9" t="n"/>
      <c r="J4" t="inlineStr">
        <is>
          <t>Fail</t>
        </is>
      </c>
      <c r="K4">
        <f>D14</f>
        <v/>
      </c>
    </row>
    <row r="5" ht="22" customHeight="1">
      <c r="A5" s="7" t="inlineStr">
        <is>
          <t>Project Code</t>
        </is>
      </c>
      <c r="B5" s="8" t="inlineStr">
        <is>
          <t>GAMERENT_BTL</t>
        </is>
      </c>
      <c r="C5" s="9" t="n"/>
      <c r="D5" s="7" t="inlineStr">
        <is>
          <t>Reviewer / Approver</t>
        </is>
      </c>
      <c r="E5" s="8" t="inlineStr">
        <is>
          <t>ThS. Phạm Thị Loan</t>
        </is>
      </c>
      <c r="F5" s="9" t="n"/>
      <c r="G5" s="9" t="n"/>
      <c r="H5" s="9" t="n"/>
      <c r="J5" t="inlineStr">
        <is>
          <t>Untested</t>
        </is>
      </c>
      <c r="K5">
        <f>E14</f>
        <v/>
      </c>
    </row>
    <row r="6" ht="22" customHeight="1">
      <c r="A6" s="7" t="inlineStr">
        <is>
          <t>Document Code</t>
        </is>
      </c>
      <c r="B6" s="8" t="inlineStr">
        <is>
          <t>ST_Test Report_v1.0</t>
        </is>
      </c>
      <c r="C6" s="9" t="n"/>
      <c r="D6" s="7" t="inlineStr">
        <is>
          <t>Issue Date</t>
        </is>
      </c>
      <c r="E6" s="8" t="inlineStr">
        <is>
          <t>16/09/2026</t>
        </is>
      </c>
      <c r="F6" s="9" t="n"/>
      <c r="G6" s="9" t="n"/>
      <c r="H6" s="9" t="n"/>
      <c r="J6" t="inlineStr">
        <is>
          <t>N/A</t>
        </is>
      </c>
      <c r="K6">
        <f>F14</f>
        <v/>
      </c>
    </row>
    <row r="7" ht="36" customHeight="1">
      <c r="A7" s="7" t="inlineStr">
        <is>
          <t>Notes</t>
        </is>
      </c>
      <c r="B7" s="34" t="inlineStr">
        <is>
          <t>&lt;List modules included in this release&gt; ex: Toàn bộ 14 kịch bản kiểm thử hệ thống E2E bao quát đầy đủ Happy/Sad path, Vòng đời thuê nick, Khiếu nại bảo hiểm và Phân quyền RBAC đã được nghiệm thu Pass 100%.</t>
        </is>
      </c>
      <c r="C7" s="9" t="n"/>
      <c r="D7" s="9" t="n"/>
      <c r="E7" s="9" t="n"/>
      <c r="F7" s="9" t="n"/>
      <c r="G7" s="9" t="n"/>
      <c r="H7" s="9" t="n"/>
    </row>
    <row r="9" ht="25" customHeight="1">
      <c r="A9" s="24" t="inlineStr">
        <is>
          <t>No</t>
        </is>
      </c>
      <c r="B9" s="24" t="inlineStr">
        <is>
          <t>Scenario Code</t>
        </is>
      </c>
      <c r="C9" s="24" t="inlineStr">
        <is>
          <t>Pass</t>
        </is>
      </c>
      <c r="D9" s="24" t="inlineStr">
        <is>
          <t>Fail</t>
        </is>
      </c>
      <c r="E9" s="24" t="inlineStr">
        <is>
          <t>Untested</t>
        </is>
      </c>
      <c r="F9" s="24" t="inlineStr">
        <is>
          <t>N/A</t>
        </is>
      </c>
      <c r="G9" s="24" t="inlineStr">
        <is>
          <t>Number of test cases</t>
        </is>
      </c>
      <c r="H9" s="24" t="inlineStr">
        <is>
          <t>% Pass</t>
        </is>
      </c>
    </row>
    <row r="10" ht="22" customHeight="1">
      <c r="A10" s="25" t="n">
        <v>1</v>
      </c>
      <c r="B10" s="26" t="inlineStr">
        <is>
          <t>STC-SCN-JOURNEY</t>
        </is>
      </c>
      <c r="C10" s="35" t="n">
        <v>4</v>
      </c>
      <c r="D10" s="35" t="n">
        <v>0</v>
      </c>
      <c r="E10" s="35" t="n">
        <v>0</v>
      </c>
      <c r="F10" s="35" t="n">
        <v>0</v>
      </c>
      <c r="G10" s="25">
        <f>SUM(C10:F10)</f>
        <v/>
      </c>
      <c r="H10" s="36">
        <f>C10/G10</f>
        <v/>
      </c>
    </row>
    <row r="11" ht="22" customHeight="1">
      <c r="A11" s="25" t="n">
        <v>2</v>
      </c>
      <c r="B11" s="26" t="inlineStr">
        <is>
          <t>STC-SCN-LIFECYCLE</t>
        </is>
      </c>
      <c r="C11" s="35" t="n">
        <v>3</v>
      </c>
      <c r="D11" s="35" t="n">
        <v>0</v>
      </c>
      <c r="E11" s="35" t="n">
        <v>0</v>
      </c>
      <c r="F11" s="35" t="n">
        <v>0</v>
      </c>
      <c r="G11" s="25">
        <f>SUM(C11:F11)</f>
        <v/>
      </c>
      <c r="H11" s="36">
        <f>C11/G11</f>
        <v/>
      </c>
    </row>
    <row r="12" ht="22" customHeight="1">
      <c r="A12" s="25" t="n">
        <v>3</v>
      </c>
      <c r="B12" s="26" t="inlineStr">
        <is>
          <t>STC-SCN-DISPUTE</t>
        </is>
      </c>
      <c r="C12" s="35" t="n">
        <v>3</v>
      </c>
      <c r="D12" s="35" t="n">
        <v>0</v>
      </c>
      <c r="E12" s="35" t="n">
        <v>0</v>
      </c>
      <c r="F12" s="35" t="n">
        <v>0</v>
      </c>
      <c r="G12" s="25">
        <f>SUM(C12:F12)</f>
        <v/>
      </c>
      <c r="H12" s="36">
        <f>C12/G12</f>
        <v/>
      </c>
    </row>
    <row r="13" ht="22" customHeight="1">
      <c r="A13" s="25" t="n">
        <v>4</v>
      </c>
      <c r="B13" s="26" t="inlineStr">
        <is>
          <t>STC-SCN-ADMIN-SEC</t>
        </is>
      </c>
      <c r="C13" s="35" t="n">
        <v>4</v>
      </c>
      <c r="D13" s="35" t="n">
        <v>0</v>
      </c>
      <c r="E13" s="35" t="n">
        <v>0</v>
      </c>
      <c r="F13" s="35" t="n">
        <v>0</v>
      </c>
      <c r="G13" s="25">
        <f>SUM(C13:F13)</f>
        <v/>
      </c>
      <c r="H13" s="36">
        <f>C13/G13</f>
        <v/>
      </c>
    </row>
    <row r="14" ht="25" customHeight="1">
      <c r="A14" s="37" t="inlineStr"/>
      <c r="B14" s="37" t="inlineStr">
        <is>
          <t>Sub total</t>
        </is>
      </c>
      <c r="C14" s="37">
        <f>SUM(C10:C13)</f>
        <v/>
      </c>
      <c r="D14" s="37">
        <f>SUM(D10:D13)</f>
        <v/>
      </c>
      <c r="E14" s="37">
        <f>SUM(E10:E13)</f>
        <v/>
      </c>
      <c r="F14" s="37">
        <f>SUM(F10:F13)</f>
        <v/>
      </c>
      <c r="G14" s="37">
        <f>SUM(G10:G13)</f>
        <v/>
      </c>
      <c r="H14" s="38">
        <f>C14/G14</f>
        <v/>
      </c>
    </row>
    <row r="16">
      <c r="B16" s="39" t="inlineStr">
        <is>
          <t>Test coverage</t>
        </is>
      </c>
      <c r="D16" s="40">
        <f>(C14+D14)/G14</f>
        <v/>
      </c>
    </row>
    <row r="17">
      <c r="B17" s="39" t="inlineStr">
        <is>
          <t>Test successful coverage</t>
        </is>
      </c>
      <c r="D17" s="40">
        <f>C14/G14</f>
        <v/>
      </c>
    </row>
  </sheetData>
  <mergeCells count="10">
    <mergeCell ref="B6:C6"/>
    <mergeCell ref="B16:C16"/>
    <mergeCell ref="B5:C5"/>
    <mergeCell ref="A2:H2"/>
    <mergeCell ref="E4:H4"/>
    <mergeCell ref="E6:H6"/>
    <mergeCell ref="E5:H5"/>
    <mergeCell ref="B7:H7"/>
    <mergeCell ref="B17:C17"/>
    <mergeCell ref="B4:C4"/>
  </mergeCells>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2:G39"/>
  <sheetViews>
    <sheetView showGridLines="1" workbookViewId="0">
      <selection activeCell="A1" sqref="A1"/>
    </sheetView>
  </sheetViews>
  <sheetFormatPr baseColWidth="8" defaultRowHeight="15"/>
  <cols>
    <col width="6" customWidth="1" min="1" max="1"/>
    <col width="26" customWidth="1" min="2" max="2"/>
    <col width="14" customWidth="1" min="3" max="3"/>
    <col width="14" customWidth="1" min="4" max="4"/>
    <col width="12" customWidth="1" min="5" max="5"/>
    <col width="45" customWidth="1" min="6" max="6"/>
    <col width="15" customWidth="1" min="7" max="7"/>
  </cols>
  <sheetData>
    <row r="2">
      <c r="A2" s="10" t="inlineStr">
        <is>
          <t>1.</t>
        </is>
      </c>
      <c r="B2" s="10" t="inlineStr">
        <is>
          <t>Wireframe &amp; Giao diện luồng nghiệp vụ E2E</t>
        </is>
      </c>
    </row>
    <row r="22">
      <c r="A22" s="10" t="inlineStr">
        <is>
          <t>2.</t>
        </is>
      </c>
      <c r="B22" s="10" t="inlineStr">
        <is>
          <t>Bảng đặc tả trường dữ liệu hệ thống (Data Elements Specification)</t>
        </is>
      </c>
    </row>
    <row r="23" ht="24" customHeight="1">
      <c r="B23" s="24" t="inlineStr">
        <is>
          <t>Field Name</t>
        </is>
      </c>
      <c r="C23" s="24" t="inlineStr">
        <is>
          <t>Type</t>
        </is>
      </c>
      <c r="D23" s="24" t="inlineStr">
        <is>
          <t>Length</t>
        </is>
      </c>
      <c r="E23" s="24" t="inlineStr">
        <is>
          <t>Mandatory</t>
        </is>
      </c>
      <c r="F23" s="24" t="inlineStr">
        <is>
          <t>Description</t>
        </is>
      </c>
    </row>
    <row r="24" ht="20" customHeight="1">
      <c r="B24" s="7" t="inlineStr">
        <is>
          <t>Tên đăng nhập / Email</t>
        </is>
      </c>
      <c r="C24" s="41" t="inlineStr">
        <is>
          <t>String</t>
        </is>
      </c>
      <c r="D24" s="41" t="inlineStr">
        <is>
          <t>6-50</t>
        </is>
      </c>
      <c r="E24" s="41" t="inlineStr">
        <is>
          <t>y</t>
        </is>
      </c>
      <c r="F24" s="8" t="inlineStr">
        <is>
          <t>Email hợp lệ (@gmail.com, @eaut.edu.vn...)</t>
        </is>
      </c>
    </row>
    <row r="25" ht="20" customHeight="1">
      <c r="B25" s="7" t="inlineStr">
        <is>
          <t>Mật khẩu tài khoản</t>
        </is>
      </c>
      <c r="C25" s="41" t="inlineStr">
        <is>
          <t>String</t>
        </is>
      </c>
      <c r="D25" s="41" t="inlineStr">
        <is>
          <t>6-30</t>
        </is>
      </c>
      <c r="E25" s="41" t="inlineStr">
        <is>
          <t>y</t>
        </is>
      </c>
      <c r="F25" s="8" t="inlineStr">
        <is>
          <t>Mật khẩu tối thiểu 6 ký tự bảo mật</t>
        </is>
      </c>
    </row>
    <row r="26" ht="20" customHeight="1">
      <c r="B26" s="7" t="inlineStr">
        <is>
          <t>Họ và tên (Đăng ký)</t>
        </is>
      </c>
      <c r="C26" s="41" t="inlineStr">
        <is>
          <t>String</t>
        </is>
      </c>
      <c r="D26" s="41" t="inlineStr">
        <is>
          <t>2-50</t>
        </is>
      </c>
      <c r="E26" s="41" t="inlineStr">
        <is>
          <t>y</t>
        </is>
      </c>
      <c r="F26" s="8" t="inlineStr">
        <is>
          <t>Họ tên tiếng Việt đầy đủ</t>
        </is>
      </c>
    </row>
    <row r="27" ht="20" customHeight="1">
      <c r="B27" s="7" t="inlineStr">
        <is>
          <t>Số tiền nạp ví (VietQR)</t>
        </is>
      </c>
      <c r="C27" s="41" t="inlineStr">
        <is>
          <t>Integer</t>
        </is>
      </c>
      <c r="D27" s="41" t="inlineStr">
        <is>
          <t>10k - 5M</t>
        </is>
      </c>
      <c r="E27" s="41" t="inlineStr">
        <is>
          <t>y</t>
        </is>
      </c>
      <c r="F27" s="8" t="inlineStr">
        <is>
          <t>Số nguyên dương (VNĐ), tối thiểu 10.000 VNĐ</t>
        </is>
      </c>
    </row>
    <row r="28" ht="20" customHeight="1">
      <c r="B28" s="7" t="inlineStr">
        <is>
          <t>Thời gian thuê</t>
        </is>
      </c>
      <c r="C28" s="41" t="inlineStr">
        <is>
          <t>Integer</t>
        </is>
      </c>
      <c r="D28" s="41" t="inlineStr">
        <is>
          <t>1 - 48</t>
        </is>
      </c>
      <c r="E28" s="41" t="inlineStr">
        <is>
          <t>y</t>
        </is>
      </c>
      <c r="F28" s="8" t="inlineStr">
        <is>
          <t>Số giờ thuê theo ca (1 giờ đến 48 giờ)</t>
        </is>
      </c>
    </row>
    <row r="29" ht="20" customHeight="1">
      <c r="B29" s="7" t="inlineStr">
        <is>
          <t>Mã sản phẩm (Kho UC1)</t>
        </is>
      </c>
      <c r="C29" s="41" t="inlineStr">
        <is>
          <t>String</t>
        </is>
      </c>
      <c r="D29" s="41" t="inlineStr">
        <is>
          <t>8-30</t>
        </is>
      </c>
      <c r="E29" s="41" t="inlineStr">
        <is>
          <t>y</t>
        </is>
      </c>
      <c r="F29" s="8" t="inlineStr">
        <is>
          <t>Mã định danh nick game duy nhất trong kho</t>
        </is>
      </c>
    </row>
    <row r="31">
      <c r="A31" s="10" t="inlineStr">
        <is>
          <t>3.</t>
        </is>
      </c>
      <c r="B31" s="10" t="inlineStr">
        <is>
          <t>Ràng buộc nghiệp vụ toàn trình (Business &amp; Validation Rules)</t>
        </is>
      </c>
    </row>
    <row r="32" ht="20" customHeight="1">
      <c r="B32" s="42" t="inlineStr">
        <is>
          <t>1. Nếu người dùng nhập sai tên đăng nhập hoặc mật khẩu thì hệ thống báo lỗi: 'Sai tên đăng nhập hoặc mật khẩu.'</t>
        </is>
      </c>
    </row>
    <row r="33" ht="20" customHeight="1">
      <c r="B33" s="42" t="inlineStr">
        <is>
          <t>2. Nếu số dư ví nhỏ hơn chi phí thuê tài khoản, hệ thống cảnh báo và tự động gợi ý số tiền nạp bù qua VietQR.</t>
        </is>
      </c>
    </row>
    <row r="34" ht="20" customHeight="1">
      <c r="B34" s="42" t="inlineStr">
        <is>
          <t>3. Khi tài khoản game có status='rented' (đang có người thuê), nút thuê bị vô hiệu hóa để ngăn ngừa Race Condition.</t>
        </is>
      </c>
    </row>
    <row r="35" ht="20" customHeight="1">
      <c r="B35" s="42" t="inlineStr">
        <is>
          <t>4. Khách hàng có thể gia hạn thêm giờ chơi; hệ thống cộng nối tiếp expiresAt và cập nhật đồng hồ đếm ngược tức thời.</t>
        </is>
      </c>
    </row>
    <row r="36" ht="20" customHeight="1">
      <c r="B36" s="42" t="inlineStr">
        <is>
          <t>5. Khách hàng trả nick sớm được hoàn 50% chi phí giờ chơi chưa sử dụng, đồng thời thu hồi mật khẩu để bảo mật.</t>
        </is>
      </c>
    </row>
    <row r="37" ht="20" customHeight="1">
      <c r="B37" s="42" t="inlineStr">
        <is>
          <t>6. Khiếu nại sự cố trong 15 phút đầu được Admin phê duyệt sẽ hoàn trả đúng 100% tiền đơn vào ví khách hàng.</t>
        </is>
      </c>
    </row>
    <row r="38" ht="20" customHeight="1">
      <c r="B38" s="42" t="inlineStr">
        <is>
          <t>7. Biểu mẫu thêm nick mới của Quản trị viên tuân thủ nghiêm ngặt đặc tả UC1 (Mã SP 8-30 ký tự, Tên 10-50 ký tự, Ảnh &lt;= 1MB).</t>
        </is>
      </c>
    </row>
    <row r="39" ht="20" customHeight="1">
      <c r="B39" s="42" t="inlineStr">
        <is>
          <t>8. Người dùng có role='renter' bị chặn truy cập tuyệt đối vào tất cả các route quản trị (/admin/*) thông qua Route Guard.</t>
        </is>
      </c>
    </row>
  </sheetData>
  <mergeCells count="8">
    <mergeCell ref="B38:G38"/>
    <mergeCell ref="B34:G34"/>
    <mergeCell ref="B39:G39"/>
    <mergeCell ref="B36:G36"/>
    <mergeCell ref="B37:G37"/>
    <mergeCell ref="B32:G32"/>
    <mergeCell ref="B35:G35"/>
    <mergeCell ref="B33:G33"/>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2026-09-16T13:29:39Z</dcterms:created>
  <dcterms:modified xmlns:dcterms="http://purl.org/dc/terms/" xmlns:xsi="http://www.w3.org/2001/XMLSchema-instance" xsi:type="dcterms:W3CDTF">2026-09-16T13:29:39Z</dcterms:modified>
</cp:coreProperties>
</file>